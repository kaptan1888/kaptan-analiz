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slck\Kaptan\"/>
    </mc:Choice>
  </mc:AlternateContent>
  <xr:revisionPtr revIDLastSave="0" documentId="13_ncr:1_{837E08B1-7AD3-4C7E-9CB1-90CDA21BFB61}" xr6:coauthVersionLast="47" xr6:coauthVersionMax="47" xr10:uidLastSave="{00000000-0000-0000-0000-000000000000}"/>
  <bookViews>
    <workbookView xWindow="-108" yWindow="-108" windowWidth="23256" windowHeight="12456" xr2:uid="{00000000-000D-0000-FFFF-FFFF00000000}"/>
  </bookViews>
  <sheets>
    <sheet name="Sayfa1" sheetId="1" r:id="rId1"/>
    <sheet name="son" sheetId="5" r:id="rId2"/>
    <sheet name="Sayfa2" sheetId="6" r:id="rId3"/>
    <sheet name="+1" sheetId="7" r:id="rId4"/>
    <sheet name="tüm çklş" sheetId="8" r:id="rId5"/>
    <sheet name="son çekiliş incelemesi" sheetId="4" r:id="rId6"/>
    <sheet name="rules"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J9" i="7"/>
  <c r="I9" i="7"/>
  <c r="M7" i="7"/>
  <c r="L7" i="7"/>
  <c r="K7" i="7"/>
  <c r="J7" i="7"/>
  <c r="I7" i="7"/>
  <c r="D9" i="7"/>
  <c r="C9" i="7"/>
  <c r="G7" i="7"/>
  <c r="F7" i="7"/>
  <c r="E7" i="7"/>
  <c r="C7" i="7"/>
  <c r="D7" i="7"/>
  <c r="H5" i="1"/>
  <c r="H11" i="1"/>
  <c r="I11" i="1"/>
  <c r="O11" i="1"/>
  <c r="N11" i="1"/>
  <c r="R9" i="1"/>
  <c r="Q9" i="1"/>
  <c r="P9" i="1"/>
  <c r="O9" i="1"/>
  <c r="N9" i="1"/>
  <c r="L9" i="1"/>
  <c r="K9" i="1"/>
  <c r="J9" i="1"/>
  <c r="I9" i="1"/>
  <c r="H9" i="1"/>
  <c r="R7" i="1"/>
  <c r="Q7" i="1"/>
  <c r="P7" i="1"/>
  <c r="O7" i="1"/>
  <c r="N7" i="1"/>
  <c r="L7" i="1"/>
  <c r="K7" i="1"/>
  <c r="J7" i="1"/>
  <c r="I7" i="1"/>
  <c r="H7" i="1"/>
  <c r="R5" i="1"/>
  <c r="Q5" i="1"/>
  <c r="P5" i="1"/>
  <c r="O5" i="1"/>
  <c r="N5" i="1"/>
  <c r="L5" i="1"/>
  <c r="K5" i="1"/>
  <c r="J5" i="1"/>
  <c r="I5" i="1"/>
</calcChain>
</file>

<file path=xl/sharedStrings.xml><?xml version="1.0" encoding="utf-8"?>
<sst xmlns="http://schemas.openxmlformats.org/spreadsheetml/2006/main" count="259" uniqueCount="223">
  <si>
    <t>TEK</t>
  </si>
  <si>
    <t>ÇİFT</t>
  </si>
  <si>
    <t>1. Frekans (Sıcak/Orta/Soğuk) Analizi</t>
  </si>
  <si>
    <t>Tarihsel çıkma sayılarına göre sayıları "Sıcak ($\ge 26$ kez), Orta ve Soğuk" olarak gruplandırdık.</t>
  </si>
  <si>
    <t>2. Ardışık Sayı Analizi</t>
  </si>
  <si>
    <t>Çekilişlerin tümünde ardışık (Örn: 21-22) gelen sayıların yüzdesine ve bir önceki haftadan sonra tekrar edip etmediğine baktık.</t>
  </si>
  <si>
    <t>3. Tek / Çift Dengesi Analizi</t>
  </si>
  <si>
    <t>5 sayının tek ve çift olarak dağılım oranlarını hesaplattın.</t>
  </si>
  <si>
    <r>
      <t>Kriterimiz:</t>
    </r>
    <r>
      <rPr>
        <sz val="11"/>
        <color theme="1"/>
        <rFont val="Arial"/>
        <family val="2"/>
        <charset val="162"/>
      </rPr>
      <t xml:space="preserve"> Çekilişlerin %47'sinde ardışık sayı geldiği için, kolonlarımızın birçoğunda (hepsinde olmasa da) bilerek ardışık sayılara yer vermek.</t>
    </r>
  </si>
  <si>
    <r>
      <t>Kriterimiz:</t>
    </r>
    <r>
      <rPr>
        <sz val="11"/>
        <color theme="1"/>
        <rFont val="Arial"/>
        <family val="2"/>
        <charset val="162"/>
      </rPr>
      <t xml:space="preserve"> Uçlardan (Hepsi tek veya hepsi çift) kaçınarak, sadece en çok kazandıran "3 Tek - 2 Çift", "2 Tek - 3 Çift" veya "4 Tek - 1 Çift" kombinasyonlarını kullanmak.</t>
    </r>
  </si>
  <si>
    <t>4. Son Rakam (Kök Rakam) Eşleşmesi Analizi</t>
  </si>
  <si>
    <t>Aynı kolonda son rakamı aynı olan (Örn: 4-14 veya 5-25) sayıların gelme sıklığını tarattın.</t>
  </si>
  <si>
    <r>
      <t>Kriterimiz:</t>
    </r>
    <r>
      <rPr>
        <sz val="11"/>
        <color theme="1"/>
        <rFont val="Arial"/>
        <family val="2"/>
        <charset val="162"/>
      </rPr>
      <t xml:space="preserve"> Çekilişlerin %60'ında son rakam eşleşmesi yaşandığı için, kolonlarımıza "Aynı son rakamla biten en az iki sayı" kuralını zorunlu tutmak.</t>
    </r>
  </si>
  <si>
    <t>5. Kök Rakamın Zincirleme (Ters Köşe) Analizi</t>
  </si>
  <si>
    <t>Geçen hafta son rakam eşleştiyse, bu hafta YİNE eşleşir mi ve AYNI rakamla mı eşleşir sorusunu sordun.</t>
  </si>
  <si>
    <r>
      <t>Kriterimiz:</t>
    </r>
    <r>
      <rPr>
        <sz val="11"/>
        <color theme="1"/>
        <rFont val="Arial"/>
        <family val="2"/>
        <charset val="162"/>
      </rPr>
      <t xml:space="preserve"> %88 ihtimalle makine kök rakamı değiştirdiği için; eşleşme yapmak ancak geçen haftanın eşleşen rakamını (Örn: Geçen hafta sonu 2 ile bitenler eşleştiyse, bu hafta 2'yi) eşleşmelerde kesinlikle kullanmamak.</t>
    </r>
  </si>
  <si>
    <t>6. Geçen Haftadan Sayı Devretme Analizi</t>
  </si>
  <si>
    <t>Bir önceki çekilişte çıkan sayıların hemen sonraki hafta tekrar çıkma yüzdesini hesaplattın.</t>
  </si>
  <si>
    <r>
      <t>Kriterimiz:</t>
    </r>
    <r>
      <rPr>
        <sz val="11"/>
        <color theme="1"/>
        <rFont val="Arial"/>
        <family val="2"/>
        <charset val="162"/>
      </rPr>
      <t xml:space="preserve"> %63 ihtimalle makine geçen haftadan en az 1 sayıyı kopyaladığı için, kolonlarımıza geçen haftanın kazandıran listesinden stratejik 1 sayı devrettirmek.</t>
    </r>
  </si>
  <si>
    <t>7. Basamak / Sayı Aralığı Dağılım Analizi</t>
  </si>
  <si>
    <t>Sayıların Birler, Onlar, Yirmiler ve Otuzlar gruplarına nasıl dağıldığını (Örn: 1 Birler, 2 Onlar vb.) incelettin.</t>
  </si>
  <si>
    <r>
      <t>Kriterimiz:</t>
    </r>
    <r>
      <rPr>
        <sz val="11"/>
        <color theme="1"/>
        <rFont val="Arial"/>
        <family val="2"/>
        <charset val="162"/>
      </rPr>
      <t xml:space="preserve"> 30'lu sayıların zayıflığını bilerek onları kolonda maksimum 1 tane tutmak ve "Yirmiler" grubuna her zaman ağırlık vermek (Genelde 2 Yirmilik sayı kullanmak).</t>
    </r>
  </si>
  <si>
    <t>8. Basamak Dağılımı Tepki (Karşı Hamle) Analizi</t>
  </si>
  <si>
    <t>Geçen haftanın basamak diziliminden hemen sonra sistemin en çok hangi dizilimi verdiğine (Nasıl tepki verdiğine) baktırdın.</t>
  </si>
  <si>
    <r>
      <t>Kriterimiz:</t>
    </r>
    <r>
      <rPr>
        <sz val="11"/>
        <color theme="1"/>
        <rFont val="Arial"/>
        <family val="2"/>
        <charset val="162"/>
      </rPr>
      <t xml:space="preserve"> Makine %96 ihtimalle aynı basamak dizilimini tekrar etmediği için, kolonlarımızı her zaman bir önceki haftanın dizilimine ters (Örn: Onları veya Otuzları tamamen kapatarak) kurgulamak.</t>
    </r>
  </si>
  <si>
    <t>9. 3 Hafta Üst Üste Gelen "İnatçı Sayı" Analizi</t>
  </si>
  <si>
    <t>2 hafta üst üste gelen bir sayının, 3. çekilişte de gelme yüzdesini hesaplattın.</t>
  </si>
  <si>
    <r>
      <t>Kriterimiz:</t>
    </r>
    <r>
      <rPr>
        <sz val="11"/>
        <color theme="1"/>
        <rFont val="Arial"/>
        <family val="2"/>
        <charset val="162"/>
      </rPr>
      <t xml:space="preserve"> %84 ihtimalle makine o sayının fişini çektiği için, 2 haftadır arka arkaya gelen sayıları (Örn: son çekilişlerdeki 4 sayısı) kuponlardan kesin olarak yasaklamak (Aforoz etmek).</t>
    </r>
  </si>
  <si>
    <t>10. Frekans Şablonu Tepki Analizi</t>
  </si>
  <si>
    <t>Geçen haftanın Sıcak/Orta/Soğuk diziliminden sonra makinenin genelde hangi frekanslara yöneldiğini analiz ettirdin.</t>
  </si>
  <si>
    <r>
      <t>Kriterimiz:</t>
    </r>
    <r>
      <rPr>
        <sz val="11"/>
        <color theme="1"/>
        <rFont val="Arial"/>
        <family val="2"/>
        <charset val="162"/>
      </rPr>
      <t xml:space="preserve"> Sistem tepkisini okuyarak, sıcakları artırmak veya ortalara yüklenmek gibi frekans geçişlerini kolonlarımıza yansıtmak.</t>
    </r>
  </si>
  <si>
    <t>Kısa Özetle Sen Bir Kolon Yazarken Şunları Kontrol Ediyorsun:</t>
  </si>
  <si>
    <t>Hangi frekansları seçtim? (Sıcak/Orta dengesi)</t>
  </si>
  <si>
    <t>Tekler ve Çiftler ideal oranda mı?</t>
  </si>
  <si>
    <t>Ardışık sayı koydum mu veya bilerek mi koymadım?</t>
  </si>
  <si>
    <t>Son rakamı aynı biten 2 sayı var mı?</t>
  </si>
  <si>
    <t>O aynı biten sayı, geçen haftanın rakamından farklı mı?</t>
  </si>
  <si>
    <t>Geçen haftadan 1 sayı devrettirdim mi?</t>
  </si>
  <si>
    <t>İki haftadır inat eden yasaklı sayıları eledim mi?</t>
  </si>
  <si>
    <t>30'lu sayıları minimumda tuttum mu?</t>
  </si>
  <si>
    <t>1. Kupon Toplam Değeri (Çan Eğrisi) Analizi</t>
  </si>
  <si>
    <t>Seçtiğimiz 5 sayının matematiksel toplamı. Şans Topu'nda (1-34 arası) 5 sayı seçtiğinde, toplamları en az 15 ($1+2+3+4+5$) en çok ise 160 ($30+31+32+33+34$) olabilir.</t>
  </si>
  <si>
    <r>
      <t>Gizli Gerçek:</t>
    </r>
    <r>
      <rPr>
        <sz val="11"/>
        <color theme="1"/>
        <rFont val="Arial"/>
        <family val="2"/>
        <charset val="162"/>
      </rPr>
      <t xml:space="preserve"> İnsanlar genelde doğum tarihleri (1-31) oynadığı için oynanan kuponların toplam değeri düşüktür. Ancak makinenin oluşturduğu "rastgele" havuzda, toplam değerler daima bir "Çan Eğrisi"nin ortasında (Örneğin 75 ile 105 arasında) toplanır.</t>
    </r>
  </si>
  <si>
    <r>
      <t>Neden Şart?</t>
    </r>
    <r>
      <rPr>
        <sz val="11"/>
        <color theme="1"/>
        <rFont val="Arial"/>
        <family val="2"/>
        <charset val="162"/>
      </rPr>
      <t xml:space="preserve"> Eğer oluşturduğumuz kupondaki sayıların toplamı çok düşükse (Örn: 40) veya çok yüksekse (Örn: 130), o kuponun gelme ihtimali istatistiksel olarak bir serap gibidir. Geçmişteki "Toplam Değer" ortalamasını bulmamız şarttır.</t>
    </r>
  </si>
  <si>
    <t>2. Alt / Üst (Yarı Saha) Dengesi</t>
  </si>
  <si>
    <t>Tek/Çift dengesi kadar hayati olan diğer bir tahterevalli analizidir. Oyun tahtasını (1-34) tam ortadan ikiye bölmektir:</t>
  </si>
  <si>
    <r>
      <t>Alt Bölge:</t>
    </r>
    <r>
      <rPr>
        <sz val="11"/>
        <color theme="1"/>
        <rFont val="Arial"/>
        <family val="2"/>
        <charset val="162"/>
      </rPr>
      <t xml:space="preserve"> 1 ile 17 arası sayılar.</t>
    </r>
  </si>
  <si>
    <r>
      <t>Üst Bölge:</t>
    </r>
    <r>
      <rPr>
        <sz val="11"/>
        <color theme="1"/>
        <rFont val="Arial"/>
        <family val="2"/>
        <charset val="162"/>
      </rPr>
      <t xml:space="preserve"> 18 ile 34 arası sayılar.</t>
    </r>
  </si>
  <si>
    <r>
      <t>Neden Şart?</t>
    </r>
    <r>
      <rPr>
        <sz val="11"/>
        <color theme="1"/>
        <rFont val="Arial"/>
        <family val="2"/>
        <charset val="162"/>
      </rPr>
      <t xml:space="preserve"> Nasıl ki 5 Tek - 0 Çift gelmesi zorsa, bütün sayıların "Alt Bölge"den veya bütün sayıların "Üst Bölge"den gelmesi de o kadar zordur. Tarihsel olarak </t>
    </r>
    <r>
      <rPr>
        <sz val="10"/>
        <color theme="1"/>
        <rFont val="Google Sans Text"/>
        <family val="2"/>
      </rPr>
      <t>3 Alt - 2 Üst</t>
    </r>
    <r>
      <rPr>
        <sz val="11"/>
        <color theme="1"/>
        <rFont val="Arial"/>
        <family val="2"/>
        <charset val="162"/>
      </rPr>
      <t xml:space="preserve"> veya </t>
    </r>
    <r>
      <rPr>
        <sz val="10"/>
        <color theme="1"/>
        <rFont val="Google Sans Text"/>
        <family val="2"/>
      </rPr>
      <t>2 Alt - 3 Üst</t>
    </r>
    <r>
      <rPr>
        <sz val="11"/>
        <color theme="1"/>
        <rFont val="Arial"/>
        <family val="2"/>
        <charset val="162"/>
      </rPr>
      <t xml:space="preserve"> dağılımının yüzdesini bilip, kolonlarımızı buna göre teraziye oturtmalıyız.</t>
    </r>
  </si>
  <si>
    <t>3. Kapsam (Açıklık / Mesafe) Analizi</t>
  </si>
  <si>
    <t>Kolondaki en büyük sayı ile en küçük sayı arasındaki matematiksel mesafedir.</t>
  </si>
  <si>
    <r>
      <t>Örnek:</t>
    </r>
    <r>
      <rPr>
        <sz val="11"/>
        <color theme="1"/>
        <rFont val="Arial"/>
        <family val="2"/>
        <charset val="162"/>
      </rPr>
      <t xml:space="preserve"> Kolonumuz </t>
    </r>
    <r>
      <rPr>
        <sz val="10"/>
        <color theme="1"/>
        <rFont val="Google Sans Text"/>
        <family val="2"/>
      </rPr>
      <t>4 - 15 - 22 - 27 - 31</t>
    </r>
    <r>
      <rPr>
        <sz val="11"/>
        <color theme="1"/>
        <rFont val="Arial"/>
        <family val="2"/>
        <charset val="162"/>
      </rPr>
      <t xml:space="preserve"> olsun. Açıklık değeri: $31 - 4 = 27$'dir.</t>
    </r>
  </si>
  <si>
    <r>
      <t>Neden Şart?</t>
    </r>
    <r>
      <rPr>
        <sz val="11"/>
        <color theme="1"/>
        <rFont val="Arial"/>
        <family val="2"/>
        <charset val="162"/>
      </rPr>
      <t xml:space="preserve"> Makine sayıları çok dar bir aralığa (Örn: Açıklık değeri 12 olan </t>
    </r>
    <r>
      <rPr>
        <sz val="10"/>
        <color theme="1"/>
        <rFont val="Google Sans Text"/>
        <family val="2"/>
      </rPr>
      <t>10-12-15-19-22</t>
    </r>
    <r>
      <rPr>
        <sz val="11"/>
        <color theme="1"/>
        <rFont val="Arial"/>
        <family val="2"/>
        <charset val="162"/>
      </rPr>
      <t xml:space="preserve"> gibi) mı sıkıştırıyor, yoksa geniş bir açıklığa (Örn: Açıklık değeri 30 olan </t>
    </r>
    <r>
      <rPr>
        <sz val="10"/>
        <color theme="1"/>
        <rFont val="Google Sans Text"/>
        <family val="2"/>
      </rPr>
      <t>2-10-21-29-32</t>
    </r>
    <r>
      <rPr>
        <sz val="11"/>
        <color theme="1"/>
        <rFont val="Arial"/>
        <family val="2"/>
        <charset val="162"/>
      </rPr>
      <t xml:space="preserve"> gibi) mı yayıyor? İstatistiksel "ideal açıklık" aralığını bilmeden atış yapmak, tahtanın boyutunu bilmeden dart oynamaya benzer.</t>
    </r>
  </si>
  <si>
    <t>4. "+1 (Artı) Küresinin" Bağımsız Ekosistemi</t>
  </si>
  <si>
    <t>Biz şu ana kadar tüm muazzam eforumuzu ana küreye (ilk 5 sayıya) harcadık ve en iyi çıkan +1 sayılarını rastgele kullandık. Oysa o artı sayının düştüğü 1-14 havuzu yepyeni bir evrendir!</t>
  </si>
  <si>
    <r>
      <t>Neden Şart?</t>
    </r>
    <r>
      <rPr>
        <sz val="11"/>
        <color theme="1"/>
        <rFont val="Arial"/>
        <family val="2"/>
        <charset val="162"/>
      </rPr>
      <t xml:space="preserve"> +1 sayısının kendi içindeki Tek/Çift dengesi nedir? Geçen haftanın +1 sayısının bir sonraki hafta tekrar gelme yüzdesi nedir? Ana küredeki 5 sayının toplamıyla +1 sayısı arasında bir bağ var mıdır? +1'i asla "rastgele" bırakmamalı, kendi tarihsel zırhını örmeliyiz.</t>
    </r>
  </si>
  <si>
    <t>artı 10</t>
  </si>
  <si>
    <t>rules</t>
  </si>
  <si>
    <t>1-</t>
  </si>
  <si>
    <r>
      <t>Senin Tespitin:</t>
    </r>
    <r>
      <rPr>
        <sz val="11"/>
        <color theme="1"/>
        <rFont val="Calibri"/>
        <family val="2"/>
        <scheme val="minor"/>
      </rPr>
      <t xml:space="preserve"> "Frekans aralığı ne, bundan sonra ne geliyor?"</t>
    </r>
  </si>
  <si>
    <r>
      <t>senin Tespitin:</t>
    </r>
    <r>
      <rPr>
        <sz val="11"/>
        <color theme="1"/>
        <rFont val="Calibri"/>
        <family val="2"/>
        <scheme val="minor"/>
      </rPr>
      <t xml:space="preserve"> "Frekans aralığı ne, bundan sonra ne geliyor?" </t>
    </r>
    <r>
      <rPr>
        <b/>
        <sz val="11"/>
        <color theme="1"/>
        <rFont val="Calibri"/>
        <family val="2"/>
        <scheme val="minor"/>
      </rPr>
      <t>Analiz:</t>
    </r>
    <r>
      <rPr>
        <sz val="11"/>
        <color theme="1"/>
        <rFont val="Calibri"/>
        <family val="2"/>
        <scheme val="minor"/>
      </rPr>
      <t xml:space="preserve"> Bu çekilişin frekansı çok ekstremdi: </t>
    </r>
    <r>
      <rPr>
        <b/>
        <sz val="11"/>
        <color theme="1"/>
        <rFont val="Calibri"/>
        <family val="2"/>
        <scheme val="minor"/>
      </rPr>
      <t>3 Sıcak - 0 Orta - 2 Soğuk</t>
    </r>
    <r>
      <rPr>
        <sz val="11"/>
        <color theme="1"/>
        <rFont val="Calibri"/>
        <family val="2"/>
        <scheme val="minor"/>
      </rPr>
      <t xml:space="preserve"> (29 numara da artık Sıcak gruba girdiği için). Oyun tarihindeki 154 çekilişin neredeyse tamamında olan "Orta Sayılar", bu hafta tamamen sıfır çekti.</t>
    </r>
  </si>
  <si>
    <r>
      <t>Tarihsel Tepki:</t>
    </r>
    <r>
      <rPr>
        <sz val="11"/>
        <color theme="1"/>
        <rFont val="Calibri"/>
        <family val="2"/>
        <scheme val="minor"/>
      </rPr>
      <t xml:space="preserve"> Geçmişte bu şablon (Sıfır Orta Sayı) yaşandığında, sistem </t>
    </r>
    <r>
      <rPr>
        <b/>
        <sz val="11"/>
        <color theme="1"/>
        <rFont val="Calibri"/>
        <family val="2"/>
        <scheme val="minor"/>
      </rPr>
      <t>%100 ihtimalle</t>
    </r>
    <r>
      <rPr>
        <sz val="11"/>
        <color theme="1"/>
        <rFont val="Calibri"/>
        <family val="2"/>
        <scheme val="minor"/>
      </rPr>
      <t xml:space="preserve"> ertesi hafta Orta torbaya "açlık" krizine girmiş ve saldırmış.</t>
    </r>
  </si>
  <si>
    <r>
      <t>Sonrasında Gelenler:</t>
    </r>
    <r>
      <rPr>
        <sz val="11"/>
        <color theme="1"/>
        <rFont val="Calibri"/>
        <family val="2"/>
        <scheme val="minor"/>
      </rPr>
      <t xml:space="preserve"> </t>
    </r>
    <r>
      <rPr>
        <sz val="10"/>
        <color theme="1"/>
        <rFont val="Arial Unicode MS"/>
      </rPr>
      <t>1 Sıcak - 3 Orta - 1 Soğuk</t>
    </r>
    <r>
      <rPr>
        <sz val="11"/>
        <color theme="1"/>
        <rFont val="Calibri"/>
        <family val="2"/>
        <scheme val="minor"/>
      </rPr>
      <t xml:space="preserve"> ve </t>
    </r>
    <r>
      <rPr>
        <sz val="10"/>
        <color theme="1"/>
        <rFont val="Arial Unicode MS"/>
      </rPr>
      <t>1 Sıcak - 2 Orta - 2 Soğuk</t>
    </r>
    <r>
      <rPr>
        <sz val="11"/>
        <color theme="1"/>
        <rFont val="Calibri"/>
        <family val="2"/>
        <scheme val="minor"/>
      </rPr>
      <t>. Yani sistem hemen en az 2 veya 3 tane Orta sayı geri vererek hatasını düzeltiyor.</t>
    </r>
  </si>
  <si>
    <t>sonuç:</t>
  </si>
  <si>
    <t>rules2-</t>
  </si>
  <si>
    <r>
      <t>Senin Tespitin:</t>
    </r>
    <r>
      <rPr>
        <sz val="11"/>
        <color theme="1"/>
        <rFont val="Calibri"/>
        <family val="2"/>
        <scheme val="minor"/>
      </rPr>
      <t xml:space="preserve"> "Ardışık çıkmayan çekilişten sonraki çekilişte ardışık gelme yüzdesi ne?"</t>
    </r>
  </si>
  <si>
    <r>
      <t>Analiz:</t>
    </r>
    <r>
      <rPr>
        <sz val="11"/>
        <color theme="1"/>
        <rFont val="Calibri"/>
        <family val="2"/>
        <scheme val="minor"/>
      </rPr>
      <t xml:space="preserve"> Sistemde ardışık sayı çıkmadığı (zincirin kırıldığı) çekilişlerin hemen bir hafta sonrasındaki refleksleri:</t>
    </r>
  </si>
  <si>
    <r>
      <t>Ardışık Sayı GELMEMEYE Devam Etme:</t>
    </r>
    <r>
      <rPr>
        <sz val="11"/>
        <color theme="1"/>
        <rFont val="Calibri"/>
        <family val="2"/>
        <scheme val="minor"/>
      </rPr>
      <t xml:space="preserve"> </t>
    </r>
    <r>
      <rPr>
        <b/>
        <sz val="11"/>
        <color theme="1"/>
        <rFont val="Calibri"/>
        <family val="2"/>
        <scheme val="minor"/>
      </rPr>
      <t>%53.7</t>
    </r>
  </si>
  <si>
    <r>
      <t>Hemen Ardışık Sayı YAPIŞTIRMA:</t>
    </r>
    <r>
      <rPr>
        <sz val="11"/>
        <color theme="1"/>
        <rFont val="Calibri"/>
        <family val="2"/>
        <scheme val="minor"/>
      </rPr>
      <t xml:space="preserve"> </t>
    </r>
    <r>
      <rPr>
        <b/>
        <sz val="11"/>
        <color theme="1"/>
        <rFont val="Calibri"/>
        <family val="2"/>
        <scheme val="minor"/>
      </rPr>
      <t>%46.3</t>
    </r>
  </si>
  <si>
    <r>
      <t>Sonuç:</t>
    </r>
    <r>
      <rPr>
        <sz val="11"/>
        <color theme="1"/>
        <rFont val="Calibri"/>
        <family val="2"/>
        <scheme val="minor"/>
      </rPr>
      <t xml:space="preserve"> Yüzdeler bıçak sırtı kalsa da makine "ardışık vermeme" trendini çok hafif bir farkla korumaya meyllidir. Sepetleri ayırmak en doğrusu.</t>
    </r>
  </si>
  <si>
    <t>2 ardışık olmayan 1 ardışık olan kolon üret</t>
  </si>
  <si>
    <t>rules3-</t>
  </si>
  <si>
    <r>
      <t>Senin Tespitin:</t>
    </r>
    <r>
      <rPr>
        <sz val="11"/>
        <color theme="1"/>
        <rFont val="Calibri"/>
        <family val="2"/>
        <scheme val="minor"/>
      </rPr>
      <t xml:space="preserve"> "3 tek 2 çift geldi sanırım. Böyle bir çekilişten sonra en çok ne geliyor?"</t>
    </r>
  </si>
  <si>
    <r>
      <t>Analiz:</t>
    </r>
    <r>
      <rPr>
        <sz val="11"/>
        <color theme="1"/>
        <rFont val="Calibri"/>
        <family val="2"/>
        <scheme val="minor"/>
      </rPr>
      <t xml:space="preserve"> Evet, tam olarak </t>
    </r>
    <r>
      <rPr>
        <b/>
        <sz val="11"/>
        <color theme="1"/>
        <rFont val="Calibri"/>
        <family val="2"/>
        <scheme val="minor"/>
      </rPr>
      <t>3 Tek (5, 11, 29) - 2 Çift (14, 22)</t>
    </r>
    <r>
      <rPr>
        <sz val="11"/>
        <color theme="1"/>
        <rFont val="Calibri"/>
        <family val="2"/>
        <scheme val="minor"/>
      </rPr>
      <t xml:space="preserve"> geldi. Sistem geçmişte bu dengeyi verdikten hemen sonra şu kalıplara dönüyor:</t>
    </r>
  </si>
  <si>
    <r>
      <t>🥇 1. Sıra:</t>
    </r>
    <r>
      <rPr>
        <sz val="11"/>
        <color theme="1"/>
        <rFont val="Calibri"/>
        <family val="2"/>
        <scheme val="minor"/>
      </rPr>
      <t xml:space="preserve"> </t>
    </r>
    <r>
      <rPr>
        <sz val="10"/>
        <color theme="1"/>
        <rFont val="Arial Unicode MS"/>
      </rPr>
      <t>2 Tek - 3 Çift</t>
    </r>
    <r>
      <rPr>
        <sz val="11"/>
        <color theme="1"/>
        <rFont val="Calibri"/>
        <family val="2"/>
        <scheme val="minor"/>
      </rPr>
      <t xml:space="preserve"> </t>
    </r>
    <r>
      <rPr>
        <b/>
        <sz val="11"/>
        <color theme="1"/>
        <rFont val="Calibri"/>
        <family val="2"/>
        <scheme val="minor"/>
      </rPr>
      <t>(%39.1)</t>
    </r>
    <r>
      <rPr>
        <sz val="11"/>
        <color theme="1"/>
        <rFont val="Calibri"/>
        <family val="2"/>
        <scheme val="minor"/>
      </rPr>
      <t xml:space="preserve"> </t>
    </r>
    <r>
      <rPr>
        <i/>
        <sz val="11"/>
        <color theme="1"/>
        <rFont val="Calibri"/>
        <family val="2"/>
        <scheme val="minor"/>
      </rPr>
      <t>(Tahterevalliyi hemen tersine yatırıyor!)</t>
    </r>
  </si>
  <si>
    <r>
      <t>🥈 2. Sıra:</t>
    </r>
    <r>
      <rPr>
        <sz val="11"/>
        <color theme="1"/>
        <rFont val="Calibri"/>
        <family val="2"/>
        <scheme val="minor"/>
      </rPr>
      <t xml:space="preserve"> </t>
    </r>
    <r>
      <rPr>
        <sz val="10"/>
        <color theme="1"/>
        <rFont val="Arial Unicode MS"/>
      </rPr>
      <t>3 Tek - 2 Çift</t>
    </r>
    <r>
      <rPr>
        <sz val="11"/>
        <color theme="1"/>
        <rFont val="Calibri"/>
        <family val="2"/>
        <scheme val="minor"/>
      </rPr>
      <t xml:space="preserve"> </t>
    </r>
    <r>
      <rPr>
        <b/>
        <sz val="11"/>
        <color theme="1"/>
        <rFont val="Calibri"/>
        <family val="2"/>
        <scheme val="minor"/>
      </rPr>
      <t>(%19.5)</t>
    </r>
    <r>
      <rPr>
        <sz val="11"/>
        <color theme="1"/>
        <rFont val="Calibri"/>
        <family val="2"/>
        <scheme val="minor"/>
      </rPr>
      <t xml:space="preserve"> </t>
    </r>
    <r>
      <rPr>
        <i/>
        <sz val="11"/>
        <color theme="1"/>
        <rFont val="Calibri"/>
        <family val="2"/>
        <scheme val="minor"/>
      </rPr>
      <t>(Aynı kalıp tekrarı)</t>
    </r>
  </si>
  <si>
    <r>
      <t>🥉 3. Sıra:</t>
    </r>
    <r>
      <rPr>
        <sz val="11"/>
        <color theme="1"/>
        <rFont val="Calibri"/>
        <family val="2"/>
        <scheme val="minor"/>
      </rPr>
      <t xml:space="preserve"> </t>
    </r>
    <r>
      <rPr>
        <sz val="10"/>
        <color theme="1"/>
        <rFont val="Arial Unicode MS"/>
      </rPr>
      <t>1 Tek - 4 Çift</t>
    </r>
    <r>
      <rPr>
        <sz val="11"/>
        <color theme="1"/>
        <rFont val="Calibri"/>
        <family val="2"/>
        <scheme val="minor"/>
      </rPr>
      <t xml:space="preserve"> </t>
    </r>
    <r>
      <rPr>
        <b/>
        <sz val="11"/>
        <color theme="1"/>
        <rFont val="Calibri"/>
        <family val="2"/>
        <scheme val="minor"/>
      </rPr>
      <t>(%17.0)</t>
    </r>
  </si>
  <si>
    <r>
      <t>Sonuç:</t>
    </r>
    <r>
      <rPr>
        <sz val="11"/>
        <color theme="1"/>
        <rFont val="Calibri"/>
        <family val="2"/>
        <scheme val="minor"/>
      </rPr>
      <t xml:space="preserve"> Sistem 3 Tek verdikten sonra en çok "Çift sayıları" ağırlıklı hale getirdiği </t>
    </r>
    <r>
      <rPr>
        <sz val="10"/>
        <color theme="1"/>
        <rFont val="Arial Unicode MS"/>
      </rPr>
      <t>2 Tek - 3 Çift</t>
    </r>
    <r>
      <rPr>
        <sz val="11"/>
        <color theme="1"/>
        <rFont val="Calibri"/>
        <family val="2"/>
        <scheme val="minor"/>
      </rPr>
      <t xml:space="preserve"> sistemine kaçıyor.</t>
    </r>
  </si>
  <si>
    <t>2 tek-3 çift ve 3 tek 2 çift oyna.2 tek -3 çift iki kolon diğeri 1 kolon</t>
  </si>
  <si>
    <t>rules4-</t>
  </si>
  <si>
    <r>
      <t>Senin Tespitin:</t>
    </r>
    <r>
      <rPr>
        <sz val="11"/>
        <color theme="1"/>
        <rFont val="Calibri"/>
        <family val="2"/>
        <scheme val="minor"/>
      </rPr>
      <t xml:space="preserve"> "Son rakamı aynı olan gelmedi. Sonraki çekilişte gelme/gelmeme yüzdeleri?" </t>
    </r>
    <r>
      <rPr>
        <b/>
        <sz val="11"/>
        <color theme="1"/>
        <rFont val="Calibri"/>
        <family val="2"/>
        <scheme val="minor"/>
      </rPr>
      <t>Analiz:</t>
    </r>
    <r>
      <rPr>
        <sz val="11"/>
        <color theme="1"/>
        <rFont val="Calibri"/>
        <family val="2"/>
        <scheme val="minor"/>
      </rPr>
      <t xml:space="preserve"> Son rakamlar 1, 2, 4, 5, 9 oldu. Hiçbir sayı eşleşmedi. Makine kök eşleşmesi YAPMADIĞI haftalardan sonra şu tepkiyi veriyor:</t>
    </r>
  </si>
  <si>
    <r>
      <t>Eşleşme YAPAN (Aynı son rakamlı 2 sayı) Formata Geri Dönüş:</t>
    </r>
    <r>
      <rPr>
        <sz val="11"/>
        <color theme="1"/>
        <rFont val="Calibri"/>
        <family val="2"/>
        <scheme val="minor"/>
      </rPr>
      <t xml:space="preserve"> </t>
    </r>
    <r>
      <rPr>
        <b/>
        <sz val="11"/>
        <color theme="1"/>
        <rFont val="Calibri"/>
        <family val="2"/>
        <scheme val="minor"/>
      </rPr>
      <t>%56.7</t>
    </r>
  </si>
  <si>
    <r>
      <t>Eşleşme YAPMADAN Devam Etme:</t>
    </r>
    <r>
      <rPr>
        <sz val="11"/>
        <color theme="1"/>
        <rFont val="Calibri"/>
        <family val="2"/>
        <scheme val="minor"/>
      </rPr>
      <t xml:space="preserve"> </t>
    </r>
    <r>
      <rPr>
        <b/>
        <sz val="11"/>
        <color theme="1"/>
        <rFont val="Calibri"/>
        <family val="2"/>
        <scheme val="minor"/>
      </rPr>
      <t>%43.3</t>
    </r>
  </si>
  <si>
    <r>
      <t>Sonuç:</t>
    </r>
    <r>
      <rPr>
        <sz val="11"/>
        <color theme="1"/>
        <rFont val="Calibri"/>
        <family val="2"/>
        <scheme val="minor"/>
      </rPr>
      <t xml:space="preserve"> Makinenin fabrika ayarı "Eşleşme" olduğu için, bir hafta es geçse bile ertesi hafta %57 ihtimalle mutlaka en az iki sayının son rakamını aynı veriyor (Örn: 3 ve 23 gibi).</t>
    </r>
  </si>
  <si>
    <t>2 kolon eşleşen 1 kolon eşleşmeyen oyna</t>
  </si>
  <si>
    <t>rules5-</t>
  </si>
  <si>
    <r>
      <t>Senin Tespitin:</t>
    </r>
    <r>
      <rPr>
        <sz val="11"/>
        <color theme="1"/>
        <rFont val="Calibri"/>
        <family val="2"/>
        <scheme val="minor"/>
      </rPr>
      <t xml:space="preserve"> "Geçen haftadan devir analizi yapalım. 4 haftadır devir söz konusu, yine devreder mi?" </t>
    </r>
    <r>
      <rPr>
        <b/>
        <sz val="11"/>
        <color theme="1"/>
        <rFont val="Calibri"/>
        <family val="2"/>
        <scheme val="minor"/>
      </rPr>
      <t>Analiz:</t>
    </r>
    <r>
      <rPr>
        <sz val="11"/>
        <color theme="1"/>
        <rFont val="Calibri"/>
        <family val="2"/>
        <scheme val="minor"/>
      </rPr>
      <t xml:space="preserve"> Mükemmel bir nokta! İnsan psikolojisi "4 haftadır devrediyor, artık devretmez" der. Peki makinenin gerçek matematiği ne diyor? Eğer sistemde aktif bir devir (carryover) zinciri varsa, bir sonraki hafta sistemin bu zinciri sürdürüp sürdürmediğini ölçtüm:</t>
    </r>
  </si>
  <si>
    <r>
      <t>ZİNCİRİN SÜRMESİ (Geçen haftadan yine en az 1 sayı devretmesi):</t>
    </r>
    <r>
      <rPr>
        <sz val="11"/>
        <color theme="1"/>
        <rFont val="Calibri"/>
        <family val="2"/>
        <scheme val="minor"/>
      </rPr>
      <t xml:space="preserve"> </t>
    </r>
    <r>
      <rPr>
        <b/>
        <sz val="11"/>
        <color theme="1"/>
        <rFont val="Calibri"/>
        <family val="2"/>
        <scheme val="minor"/>
      </rPr>
      <t>%63.9</t>
    </r>
  </si>
  <si>
    <r>
      <t>ZİNCİRİN KESİLMESİ (Hiçbir sayının devretmemesi):</t>
    </r>
    <r>
      <rPr>
        <sz val="11"/>
        <color theme="1"/>
        <rFont val="Calibri"/>
        <family val="2"/>
        <scheme val="minor"/>
      </rPr>
      <t xml:space="preserve"> </t>
    </r>
    <r>
      <rPr>
        <b/>
        <sz val="11"/>
        <color theme="1"/>
        <rFont val="Calibri"/>
        <family val="2"/>
        <scheme val="minor"/>
      </rPr>
      <t>%36.1</t>
    </r>
  </si>
  <si>
    <r>
      <t>Sonuç:</t>
    </r>
    <r>
      <rPr>
        <sz val="11"/>
        <color theme="1"/>
        <rFont val="Calibri"/>
        <family val="2"/>
        <scheme val="minor"/>
      </rPr>
      <t xml:space="preserve"> "Kumarbaz Yanılgısına" düşmemeliyiz. Sistem devretmeyi çok seviyor ve 4 hafta değil 10 hafta üst üste bile olsa, bir sayının ertesi haftaya devretme ihtimali matematiksel olarak her zaman devretmeme ihtimalini ezip geçiyor. Yeni kolonda bu haftanın sayılarından birini yine aday olarak tutmalıyız.</t>
    </r>
  </si>
  <si>
    <t>2 tane devreden 1 tane devretmeyen kolon oluştur.</t>
  </si>
  <si>
    <t>rules6-</t>
  </si>
  <si>
    <t>1 Birler - 1 Onlar - 2 Yirmiler - 1 Otuzlar</t>
  </si>
  <si>
    <t>1 Birler - 1 Onlar - 1 Yirmiler - 2 Otuzlar</t>
  </si>
  <si>
    <t>0 Birler - 3 Onlar - 1 Yirmiler - 1 Otuzlar</t>
  </si>
  <si>
    <t>2 Birler - 1 Onlar - 1 Yirmiler - 1 Otuzlar</t>
  </si>
  <si>
    <t>0 Birler - 1 Onlar - 3 Yirmiler - 1 Otuzlar</t>
  </si>
  <si>
    <r>
      <t>Senin Tespitin:</t>
    </r>
    <r>
      <rPr>
        <sz val="11"/>
        <color theme="1"/>
        <rFont val="Calibri"/>
        <family val="2"/>
        <scheme val="minor"/>
      </rPr>
      <t xml:space="preserve"> "1 Birler, 2 Onlar, 2 Yirmiler'den sonraki çekilişte hangi basamaklar geliyor?" </t>
    </r>
  </si>
  <si>
    <t>Analiz: Bu şablon (1-2-2-0) son çekilişte aynen dediğin gibi yaşandı. Otuzlar grubu (30-34 arası) hiç çıkmadı. Python ile geçmişte bu şablonun çıktığı tüm "ertesi haftaları" tarattım ve inanılmaz bir "yüzde 100" kuralı yakaladım! Geçmişte bu şablondan sonra gelen dağılımlar:</t>
  </si>
  <si>
    <t>1 birler-1 onlar2 yirmiler-1 otuzlar</t>
  </si>
  <si>
    <t>1 birler-1 onlar-1 yirmiler-2 otuzlar</t>
  </si>
  <si>
    <t>0 birler-3 onlar-1 yirmiler-1 otuzlar</t>
  </si>
  <si>
    <t xml:space="preserve">1 sıcak-3 orta 1 soğuk oyna ve 1 sıcak 2 orta 2 soğuk </t>
  </si>
  <si>
    <t>kapsam</t>
  </si>
  <si>
    <t>1. Kök Eşleşmesi (Sıfır Eşleşme) Refleksi:</t>
  </si>
  <si>
    <t>mutlaka kök eşleşmesi olucak.</t>
  </si>
  <si>
    <t>rules1-</t>
  </si>
  <si>
    <t>Senin Tespitin: "Frekans aralığı ne, bundan sonra ne geliyor?"</t>
  </si>
  <si>
    <r>
      <t xml:space="preserve">🥇 </t>
    </r>
    <r>
      <rPr>
        <b/>
        <sz val="11"/>
        <color theme="1"/>
        <rFont val="Calibri"/>
        <family val="2"/>
        <scheme val="minor"/>
      </rPr>
      <t>%21.05 İhtimalle:</t>
    </r>
    <r>
      <rPr>
        <sz val="11"/>
        <color theme="1"/>
        <rFont val="Calibri"/>
        <family val="2"/>
        <scheme val="minor"/>
      </rPr>
      <t xml:space="preserve"> </t>
    </r>
    <r>
      <rPr>
        <sz val="10"/>
        <color theme="1"/>
        <rFont val="Arial Unicode MS"/>
      </rPr>
      <t>1 Sıcak - 3 Orta - 1 Soğuk</t>
    </r>
    <r>
      <rPr>
        <sz val="11"/>
        <color theme="1"/>
        <rFont val="Calibri"/>
        <family val="2"/>
        <scheme val="minor"/>
      </rPr>
      <t xml:space="preserve"> (Oyunun en popüler dengesine anında geri dönüş yapıyor!)</t>
    </r>
  </si>
  <si>
    <r>
      <t xml:space="preserve">🥈 </t>
    </r>
    <r>
      <rPr>
        <b/>
        <sz val="11"/>
        <color theme="1"/>
        <rFont val="Calibri"/>
        <family val="2"/>
        <scheme val="minor"/>
      </rPr>
      <t>%15.79 İhtimalle:</t>
    </r>
    <r>
      <rPr>
        <sz val="11"/>
        <color theme="1"/>
        <rFont val="Calibri"/>
        <family val="2"/>
        <scheme val="minor"/>
      </rPr>
      <t xml:space="preserve"> </t>
    </r>
    <r>
      <rPr>
        <sz val="10"/>
        <color theme="1"/>
        <rFont val="Arial Unicode MS"/>
      </rPr>
      <t>2 Sıcak - 3 Orta - 0 Soğuk</t>
    </r>
    <r>
      <rPr>
        <sz val="11"/>
        <color theme="1"/>
        <rFont val="Calibri"/>
        <family val="2"/>
        <scheme val="minor"/>
      </rPr>
      <t xml:space="preserve"> (Soğuk sayıları tamamen kapatıp, Orta sayılara yükleniyor)</t>
    </r>
  </si>
  <si>
    <r>
      <t xml:space="preserve">🥈 </t>
    </r>
    <r>
      <rPr>
        <b/>
        <sz val="11"/>
        <color theme="1"/>
        <rFont val="Calibri"/>
        <family val="2"/>
        <scheme val="minor"/>
      </rPr>
      <t>%15.79 İhtimalle:</t>
    </r>
    <r>
      <rPr>
        <sz val="11"/>
        <color theme="1"/>
        <rFont val="Calibri"/>
        <family val="2"/>
        <scheme val="minor"/>
      </rPr>
      <t xml:space="preserve"> </t>
    </r>
    <r>
      <rPr>
        <sz val="10"/>
        <color theme="1"/>
        <rFont val="Arial Unicode MS"/>
      </rPr>
      <t>2 Sıcak - 2 Orta - 1 Soğuk</t>
    </r>
    <r>
      <rPr>
        <sz val="11"/>
        <color theme="1"/>
        <rFont val="Calibri"/>
        <family val="2"/>
        <scheme val="minor"/>
      </rPr>
      <t xml:space="preserve"> (Aynı şablonu inatla tekrar ediyor)</t>
    </r>
  </si>
  <si>
    <t>sonuç.bunlardan 3 kolon ürettir.</t>
  </si>
  <si>
    <r>
      <t>3. Hafta Ardışık GELME (Zinciri Kırma) Yüzdesi:</t>
    </r>
    <r>
      <rPr>
        <sz val="11"/>
        <color theme="1"/>
        <rFont val="Calibri"/>
        <family val="2"/>
        <scheme val="minor"/>
      </rPr>
      <t xml:space="preserve"> </t>
    </r>
    <r>
      <rPr>
        <b/>
        <sz val="11"/>
        <color theme="1"/>
        <rFont val="Calibri"/>
        <family val="2"/>
        <scheme val="minor"/>
      </rPr>
      <t>%47.73</t>
    </r>
  </si>
  <si>
    <r>
      <t>3. Hafta Ardışık GELMEME (Devam Etme) Yüzdesi:</t>
    </r>
    <r>
      <rPr>
        <sz val="11"/>
        <color theme="1"/>
        <rFont val="Calibri"/>
        <family val="2"/>
        <scheme val="minor"/>
      </rPr>
      <t xml:space="preserve"> </t>
    </r>
    <r>
      <rPr>
        <b/>
        <sz val="11"/>
        <color theme="1"/>
        <rFont val="Calibri"/>
        <family val="2"/>
        <scheme val="minor"/>
      </rPr>
      <t>%52.27</t>
    </r>
  </si>
  <si>
    <t>Senin Tespitin: "Ardışık çıkmayan çekilişten sonraki çekilişte ardışık gelme yüzdesi ne?"</t>
  </si>
  <si>
    <t>sonuç ardışık olan ve olmayan  kolonlar ürettir.</t>
  </si>
  <si>
    <r>
      <t>%35.19 İhtimalle:</t>
    </r>
    <r>
      <rPr>
        <sz val="11"/>
        <color theme="1"/>
        <rFont val="Calibri"/>
        <family val="2"/>
        <scheme val="minor"/>
      </rPr>
      <t xml:space="preserve"> </t>
    </r>
    <r>
      <rPr>
        <sz val="10"/>
        <color theme="1"/>
        <rFont val="Arial Unicode MS"/>
      </rPr>
      <t>2 Tek - 3 Çift</t>
    </r>
    <r>
      <rPr>
        <sz val="11"/>
        <color theme="1"/>
        <rFont val="Calibri"/>
        <family val="2"/>
        <scheme val="minor"/>
      </rPr>
      <t xml:space="preserve"> şablonuna tutunmaya (aynı kurguyu tekrarlamaya) devam ediyor.</t>
    </r>
  </si>
  <si>
    <r>
      <t>%33.33 İhtimalle:</t>
    </r>
    <r>
      <rPr>
        <sz val="11"/>
        <color theme="1"/>
        <rFont val="Calibri"/>
        <family val="2"/>
        <scheme val="minor"/>
      </rPr>
      <t xml:space="preserve"> Dengeli bir tahterevalli dönüşü yaparak </t>
    </r>
    <r>
      <rPr>
        <sz val="10"/>
        <color theme="1"/>
        <rFont val="Arial Unicode MS"/>
      </rPr>
      <t>3 Tek - 2 Çift</t>
    </r>
    <r>
      <rPr>
        <sz val="11"/>
        <color theme="1"/>
        <rFont val="Calibri"/>
        <family val="2"/>
        <scheme val="minor"/>
      </rPr>
      <t xml:space="preserve"> şablonuna</t>
    </r>
  </si>
  <si>
    <t>Senin Tespitin: "2 tek 3 çift geldi sanırım. Böyle bir çekilişten sonra en çok ne geliyor?"</t>
  </si>
  <si>
    <r>
      <t xml:space="preserve">👉 </t>
    </r>
    <r>
      <rPr>
        <b/>
        <sz val="11"/>
        <color theme="1"/>
        <rFont val="Calibri"/>
        <family val="2"/>
        <scheme val="minor"/>
      </rPr>
      <t xml:space="preserve">"Kolonların %60'ını </t>
    </r>
    <r>
      <rPr>
        <b/>
        <sz val="10"/>
        <color theme="1"/>
        <rFont val="Arial Unicode MS"/>
      </rPr>
      <t>3 Tek - 2 Çift</t>
    </r>
    <r>
      <rPr>
        <b/>
        <sz val="11"/>
        <color theme="1"/>
        <rFont val="Calibri"/>
        <family val="2"/>
        <scheme val="minor"/>
      </rPr>
      <t xml:space="preserve"> olarak kur (kırılmayı avla), kalan %40'ını ise makinenin güncel bağımlılığı olan </t>
    </r>
    <r>
      <rPr>
        <b/>
        <sz val="10"/>
        <color theme="1"/>
        <rFont val="Arial Unicode MS"/>
      </rPr>
      <t>2 Tek - 3 Çift</t>
    </r>
    <r>
      <rPr>
        <b/>
        <sz val="11"/>
        <color theme="1"/>
        <rFont val="Calibri"/>
        <family val="2"/>
        <scheme val="minor"/>
      </rPr>
      <t xml:space="preserve"> olarak sigortala."</t>
    </r>
  </si>
  <si>
    <t>geçen haftadan sadece 1 sayısı devredilecek şekilde 1 kolon oluştur.</t>
  </si>
  <si>
    <r>
      <t>Senin Tespitin:</t>
    </r>
    <r>
      <rPr>
        <sz val="11"/>
        <color theme="1"/>
        <rFont val="Calibri"/>
        <family val="2"/>
        <scheme val="minor"/>
      </rPr>
      <t xml:space="preserve"> 2 Birler - 1 Onlar - 1 Yirmiler - 1 Otuzlar sonraki çekilişte hangi basamaklar geliyor?" </t>
    </r>
  </si>
  <si>
    <r>
      <t xml:space="preserve">🎯 </t>
    </r>
    <r>
      <rPr>
        <b/>
        <sz val="11"/>
        <color theme="1"/>
        <rFont val="Calibri"/>
        <family val="2"/>
        <scheme val="minor"/>
      </rPr>
      <t>%30.00 İhtimalle:</t>
    </r>
    <r>
      <rPr>
        <sz val="11"/>
        <color theme="1"/>
        <rFont val="Calibri"/>
        <family val="2"/>
        <scheme val="minor"/>
      </rPr>
      <t xml:space="preserve"> </t>
    </r>
    <r>
      <rPr>
        <sz val="10"/>
        <color theme="1"/>
        <rFont val="Arial Unicode MS"/>
      </rPr>
      <t>1 Birler - 1 Onlar - 2 Yirmiler - 1 Otuzlar</t>
    </r>
    <r>
      <rPr>
        <sz val="11"/>
        <color theme="1"/>
        <rFont val="Calibri"/>
        <family val="2"/>
        <scheme val="minor"/>
      </rPr>
      <t xml:space="preserve"> </t>
    </r>
    <r>
      <rPr>
        <i/>
        <sz val="11"/>
        <color theme="1"/>
        <rFont val="Calibri"/>
        <family val="2"/>
        <scheme val="minor"/>
      </rPr>
      <t>(Makine Birler basamağındaki aşırı yükü (2 sayıyı) anında 1'e düşürüyor ve o boşluğu direkt olarak Yirmiler basamağına aktarıyor. Bu oyunun altın dönüşüdür.)</t>
    </r>
  </si>
  <si>
    <r>
      <t xml:space="preserve">🎯 </t>
    </r>
    <r>
      <rPr>
        <b/>
        <sz val="11"/>
        <color theme="1"/>
        <rFont val="Calibri"/>
        <family val="2"/>
        <scheme val="minor"/>
      </rPr>
      <t>%20.00 İhtimalle:</t>
    </r>
    <r>
      <rPr>
        <sz val="11"/>
        <color theme="1"/>
        <rFont val="Calibri"/>
        <family val="2"/>
        <scheme val="minor"/>
      </rPr>
      <t xml:space="preserve"> </t>
    </r>
    <r>
      <rPr>
        <sz val="10"/>
        <color theme="1"/>
        <rFont val="Arial Unicode MS"/>
      </rPr>
      <t>2 Birler - 1 Onlar - 1 Yirmiler - 1 Otuzlar</t>
    </r>
    <r>
      <rPr>
        <sz val="11"/>
        <color theme="1"/>
        <rFont val="Calibri"/>
        <family val="2"/>
        <scheme val="minor"/>
      </rPr>
      <t xml:space="preserve"> </t>
    </r>
    <r>
      <rPr>
        <i/>
        <sz val="11"/>
        <color theme="1"/>
        <rFont val="Calibri"/>
        <family val="2"/>
        <scheme val="minor"/>
      </rPr>
      <t>(Makine inat ediyor. Aynısını bir kez daha tekrarlıyor.)</t>
    </r>
  </si>
  <si>
    <r>
      <t xml:space="preserve">👉 Olası bir kapatma tuzağına karşı (Çünkü oranlar altlardan ani kırılmaları işaret ediyor), mutlaka </t>
    </r>
    <r>
      <rPr>
        <b/>
        <sz val="10"/>
        <color theme="1"/>
        <rFont val="Arial Unicode MS"/>
      </rPr>
      <t>0 Birler - 3 Onlar - 1 Yirmiler - 1 Otuzlar</t>
    </r>
    <r>
      <rPr>
        <sz val="11"/>
        <color theme="1"/>
        <rFont val="Calibri"/>
        <family val="2"/>
        <scheme val="minor"/>
      </rPr>
      <t xml:space="preserve"> şablonunu içeren 1 adet ters köşe kolonu kurguya dahil edilecektir.</t>
    </r>
  </si>
  <si>
    <t>T1</t>
  </si>
  <si>
    <t>T2</t>
  </si>
  <si>
    <t>T3</t>
  </si>
  <si>
    <t>T4</t>
  </si>
  <si>
    <t>T5</t>
  </si>
  <si>
    <t>--- 3. TEK/ÇİFT DENGESİ YÜZDELERİ ---</t>
  </si>
  <si>
    <t>--- 5. KÖK EŞLEŞMESİ YÜZDELERİ ---</t>
  </si>
  <si>
    <t>--- 6. DEVİR (GEÇEN HAFTADAN SAYI) YÜZDELERİ ---</t>
  </si>
  <si>
    <t>--- 7. BASAMAK DAĞILIMI YÜZDELERİ ---</t>
  </si>
  <si>
    <t>2 kolon</t>
  </si>
  <si>
    <t>Durum: Son çekilişte 'VAR' gerçekleşti.</t>
  </si>
  <si>
    <t>--- 3. TEK/ÇİFT DENGESİ GEÇİŞ ANALİZİ ---</t>
  </si>
  <si>
    <t>Durum: Son çekilişte 'Eşleşme Yok' gerçekleşti.</t>
  </si>
  <si>
    <t>Tarih boyunca herhangi bir sayının 3 hafta ÜST ÜSTE çıkma durumu 22 kez yaşandı.</t>
  </si>
  <si>
    <t>Bu 3 haftalık serilerin ardından, sayının 4. HAFTA DA DEVRETME (gelme) ihtimali: %18.18</t>
  </si>
  <si>
    <t>Yani %81.82 ihtimalle o sayı 4. hafta KESİNLİKLE KESİLİR (Gelmez).</t>
  </si>
  <si>
    <t>--- 2. ALT / ÜST BÖLGE GEÇİŞ ANALİZİ ---</t>
  </si>
  <si>
    <t>--- 4. BASAMAK GEÇİŞ ANALİZİ ---</t>
  </si>
  <si>
    <t>--- 5. ARDIŞIK SAYI GEÇİŞ ANALİZİ ---</t>
  </si>
  <si>
    <t>--- 6. KÖK EŞLEŞMESİ GEÇİŞ ANALİZİ ---</t>
  </si>
  <si>
    <t>--- 7. DEVİR (GEÇEN HAFTADAN SAYI) GEÇİŞ ANALİZİ ---</t>
  </si>
  <si>
    <t>--- 8. GENEL DEVİR İSTATİSTİĞİ (Tüm Tarih) ---</t>
  </si>
  <si>
    <t>--- 9. ÖZEL DEVİR ANALİZİ (3 Hafta Üst Üste Çıkma) ---</t>
  </si>
  <si>
    <t>🔥 SICAK (&gt;= 26 Çıkış) (11 Adet): [1, 2, 5, 7, 8, 15, 19, 20, 22, 29, 33]</t>
  </si>
  <si>
    <t>🟡 ORTA (20-25 Çıkış) (15 Adet): [3, 4, 6, 9, 10, 14, 16, 18, 21, 25, 26, 27, 31, 32, 34]</t>
  </si>
  <si>
    <t>❄️ SOĞUK (&lt;= 19 Çıkış) (8 Adet): [11, 12, 13, 17, 23, 24, 28, 30]</t>
  </si>
  <si>
    <t>--- 2. FREKANS ŞABLONU YÜZDELERİ ---</t>
  </si>
  <si>
    <t>2 Sıcak - 2 Orta - 1 Soğuk: %14.20</t>
  </si>
  <si>
    <t>2 Sıcak - 3 Orta - 0 Soğuk: %12.96</t>
  </si>
  <si>
    <t>3 Sıcak - 2 Orta - 0 Soğuk: %11.11</t>
  </si>
  <si>
    <t>1 Sıcak - 3 Orta - 1 Soğuk: %10.49</t>
  </si>
  <si>
    <t>2 Sıcak - 1 Orta - 2 Soğuk: %9.88</t>
  </si>
  <si>
    <t>1 Sıcak - 4 Orta - 0 Soğuk: %8.64</t>
  </si>
  <si>
    <t>3 Sıcak - 1 Orta - 1 Soğuk: %8.64</t>
  </si>
  <si>
    <t>4 Sıcak - 1 Orta - 0 Soğuk: %4.94</t>
  </si>
  <si>
    <t>1 Sıcak - 2 Orta - 2 Soğuk: %4.94</t>
  </si>
  <si>
    <t>3 Sıcak - 0 Orta - 2 Soğuk: %2.47</t>
  </si>
  <si>
    <t>2 Tek - 3 Çift: %37.04</t>
  </si>
  <si>
    <t>3 Tek - 2 Çift: %26.54</t>
  </si>
  <si>
    <t>4 Tek - 1 Çift: %16.67</t>
  </si>
  <si>
    <t>1 Tek - 4 Çift: %16.05</t>
  </si>
  <si>
    <t>5 Tek - 0 Çift: %2.47</t>
  </si>
  <si>
    <t>0 Tek - 5 Çift: %1.23</t>
  </si>
  <si>
    <t>--- 4. ARDIŞIK SAYI YÜZDELERİ ---</t>
  </si>
  <si>
    <t>YOK: %52.47</t>
  </si>
  <si>
    <t>VAR: %47.53</t>
  </si>
  <si>
    <t>2'li Eşleşme (Tek Çift Kök): %54.32</t>
  </si>
  <si>
    <t>Eşleşme Yok: %41.98</t>
  </si>
  <si>
    <t>VAR: %64.60</t>
  </si>
  <si>
    <t>YOK: %35.40</t>
  </si>
  <si>
    <t>1 Birler - 2 Onlar - 2 Yirmiler - 0 Otuzlar: %8.02</t>
  </si>
  <si>
    <t>1 Birler - 1 Onlar - 2 Yirmiler - 1 Otuzlar: %8.02</t>
  </si>
  <si>
    <t>2 Birler - 1 Onlar - 1 Yirmiler - 1 Otuzlar: %7.41</t>
  </si>
  <si>
    <t>2 Birler - 2 Onlar - 1 Yirmiler - 0 Otuzlar: %7.41</t>
  </si>
  <si>
    <t>2 Birler - 1 Onlar - 2 Yirmiler - 0 Otuzlar: %5.56</t>
  </si>
  <si>
    <t>1 Birler - 3 Onlar - 1 Yirmiler - 0 Otuzlar: %4.32</t>
  </si>
  <si>
    <t>1 Birler - 1 Onlar - 1 Yirmiler - 2 Otuzlar: %4.32</t>
  </si>
  <si>
    <t>2 Birler - 0 Onlar - 2 Yirmiler - 1 Otuzlar: %3.70</t>
  </si>
  <si>
    <t>1 Birler - 2 Onlar - 1 Yirmiler - 1 Otuzlar: %3.70</t>
  </si>
  <si>
    <t>2 Birler - 0 Onlar - 3 Yirmiler - 0 Otuzlar: %3.70</t>
  </si>
  <si>
    <t>--- 1. FREKANS GEÇİŞ ANALİZİ ---</t>
  </si>
  <si>
    <t>Durum: Son çekilişte '1 Sıcak - 4 Orta - 0 Soğuk' gerçekleşti.</t>
  </si>
  <si>
    <t>Tarihsel Refleks (Toplam 13 kez bu durum yaşandı ve ardından şunlar geldi):</t>
  </si>
  <si>
    <t xml:space="preserve">  -&gt; %30.77 ihtimalle : 3 Sıcak - 2 Orta - 0 Soğuk</t>
  </si>
  <si>
    <t xml:space="preserve">  -&gt; %30.77 ihtimalle : 2 Sıcak - 2 Orta - 1 Soğuk</t>
  </si>
  <si>
    <t xml:space="preserve">  -&gt; %7.69 ihtimalle : 1 Sıcak - 3 Orta - 1 Soğuk</t>
  </si>
  <si>
    <t xml:space="preserve">  -&gt; %7.69 ihtimalle : 3 Sıcak - 1 Orta - 1 Soğuk</t>
  </si>
  <si>
    <t xml:space="preserve">  -&gt; %7.69 ihtimalle : 1 Sıcak - 2 Orta - 2 Soğuk</t>
  </si>
  <si>
    <t>Durum: Son çekilişte '3 Alt - 2 Üst' gerçekleşti.</t>
  </si>
  <si>
    <t>Tarihsel Refleks (Toplam 38 kez bu durum yaşandı ve ardından şunlar geldi):</t>
  </si>
  <si>
    <t xml:space="preserve">  -&gt; %34.21 ihtimalle : 2 Alt - 3 Üst</t>
  </si>
  <si>
    <t xml:space="preserve">  -&gt; %26.32 ihtimalle : 3 Alt - 2 Üst</t>
  </si>
  <si>
    <t xml:space="preserve">  -&gt; %18.42 ihtimalle : 1 Alt - 4 Üst</t>
  </si>
  <si>
    <t xml:space="preserve">  -&gt; %10.53 ihtimalle : 4 Alt - 1 Üst</t>
  </si>
  <si>
    <t xml:space="preserve">  -&gt; %7.89 ihtimalle : 0 Alt - 5 Üst</t>
  </si>
  <si>
    <t>Durum: Son çekilişte '2 Tek - 3 Çift' gerçekleşti.</t>
  </si>
  <si>
    <t>Tarihsel Refleks (Toplam 59 kez bu durum yaşandı ve ardından şunlar geldi):</t>
  </si>
  <si>
    <t xml:space="preserve">  -&gt; %35.59 ihtimalle : 2 Tek - 3 Çift</t>
  </si>
  <si>
    <t xml:space="preserve">  -&gt; %32.20 ihtimalle : 3 Tek - 2 Çift</t>
  </si>
  <si>
    <t xml:space="preserve">  -&gt; %16.95 ihtimalle : 1 Tek - 4 Çift</t>
  </si>
  <si>
    <t xml:space="preserve">  -&gt; %11.86 ihtimalle : 4 Tek - 1 Çift</t>
  </si>
  <si>
    <t xml:space="preserve">  -&gt; %3.39 ihtimalle : 5 Tek - 0 Çift</t>
  </si>
  <si>
    <t>Durum: Son çekilişte '0 Birler - 3 Onlar - 0 Yirmiler - 2 Otuzlar' gerçekleşti.</t>
  </si>
  <si>
    <t>Tarihsel Refleks (Toplam 1 kez bu durum yaşandı ve ardından şunlar geldi):</t>
  </si>
  <si>
    <t xml:space="preserve">  -&gt; %100.00 ihtimalle : 2 Birler - 3 Onlar - 0 Yirmiler - 0 Otuzlar</t>
  </si>
  <si>
    <t>Tarihsel Refleks (Toplam 76 kez bu durum yaşandı ve ardından şunlar geldi):</t>
  </si>
  <si>
    <t xml:space="preserve">  -&gt; %51.32 ihtimalle : YOK</t>
  </si>
  <si>
    <t xml:space="preserve">  -&gt; %48.68 ihtimalle : VAR</t>
  </si>
  <si>
    <t>Tarihsel Refleks (Toplam 67 kez bu durum yaşandı ve ardından şunlar geldi):</t>
  </si>
  <si>
    <t xml:space="preserve">  -&gt; %50.75 ihtimalle : 2'li Eşleşme (Tek Çift Kök)</t>
  </si>
  <si>
    <t xml:space="preserve">  -&gt; %47.76 ihtimalle : Eşleşme Yok</t>
  </si>
  <si>
    <t xml:space="preserve">  -&gt; %1.49 ihtimalle : 3'lü+ Eşleşme / Çifte Kök</t>
  </si>
  <si>
    <t>Tarihsel Refleks (Toplam 103 kez bu durum yaşandı ve ardından şunlar geldi):</t>
  </si>
  <si>
    <t xml:space="preserve">  -&gt; %65.05 ihtimalle : VAR</t>
  </si>
  <si>
    <t xml:space="preserve">  -&gt; %34.95 ihtimalle : YOK</t>
  </si>
  <si>
    <t>Oyunun tarihinde (161 çekilişte) Devir Çıkıp/Çıkmama Oranları:</t>
  </si>
  <si>
    <t xml:space="preserve">  -&gt; VAR : %64.60 (104 Kez)</t>
  </si>
  <si>
    <t xml:space="preserve">  -&gt; YOK : %35.40 (57 Kez)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</si>
</sst>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0"/>
      <color theme="1"/>
      <name val="Arial Unicode MS"/>
    </font>
    <font>
      <i/>
      <sz val="11"/>
      <color theme="1"/>
      <name val="Calibri"/>
      <family val="2"/>
      <scheme val="minor"/>
    </font>
    <font>
      <sz val="11"/>
      <color theme="1"/>
      <name val="Arial"/>
      <family val="2"/>
      <charset val="162"/>
    </font>
    <font>
      <b/>
      <sz val="11"/>
      <color theme="1"/>
      <name val="Arial"/>
      <family val="2"/>
      <charset val="162"/>
    </font>
    <font>
      <sz val="10"/>
      <color theme="1"/>
      <name val="Google Sans Text"/>
      <family val="2"/>
    </font>
    <font>
      <sz val="10"/>
      <color theme="1"/>
      <name val="Arial"/>
      <family val="2"/>
      <charset val="162"/>
    </font>
    <font>
      <b/>
      <sz val="10"/>
      <color theme="1"/>
      <name val="Arial"/>
      <family val="2"/>
      <charset val="162"/>
    </font>
    <font>
      <sz val="8"/>
      <color theme="1"/>
      <name val="Arial"/>
      <family val="2"/>
      <charset val="162"/>
    </font>
    <font>
      <sz val="8"/>
      <color rgb="FF000000"/>
      <name val="Calibri"/>
      <family val="2"/>
      <charset val="162"/>
      <scheme val="minor"/>
    </font>
    <font>
      <b/>
      <sz val="11"/>
      <color theme="1"/>
      <name val="Calibri"/>
      <family val="2"/>
      <charset val="162"/>
      <scheme val="minor"/>
    </font>
    <font>
      <b/>
      <sz val="10"/>
      <color theme="1"/>
      <name val="Arial Unicode MS"/>
    </font>
    <font>
      <sz val="11"/>
      <color theme="0"/>
      <name val="Calibri"/>
      <family val="2"/>
      <scheme val="minor"/>
    </font>
    <font>
      <sz val="8"/>
      <color theme="0"/>
      <name val="Calibri"/>
      <family val="2"/>
      <scheme val="minor"/>
    </font>
    <font>
      <sz val="11"/>
      <color rgb="FF212529"/>
      <name val="Arial"/>
      <family val="2"/>
      <charset val="162"/>
    </font>
    <font>
      <b/>
      <sz val="11"/>
      <color rgb="FF212529"/>
      <name val="Arial"/>
      <family val="2"/>
      <charset val="16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4"/>
        <bgColor indexed="64"/>
      </patternFill>
    </fill>
  </fills>
  <borders count="26">
    <border>
      <left/>
      <right/>
      <top/>
      <bottom/>
      <diagonal/>
    </border>
    <border>
      <left style="medium">
        <color rgb="FF00AAE9"/>
      </left>
      <right style="medium">
        <color rgb="FF00AAE9"/>
      </right>
      <top style="medium">
        <color rgb="FF00AAE9"/>
      </top>
      <bottom style="medium">
        <color rgb="FF00AAE9"/>
      </bottom>
      <diagonal/>
    </border>
    <border>
      <left style="medium">
        <color rgb="FF00AAE9"/>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rgb="FF000000"/>
      </bottom>
      <diagonal/>
    </border>
    <border>
      <left/>
      <right/>
      <top style="thin">
        <color rgb="FFDEE2E6"/>
      </top>
      <bottom style="medium">
        <color rgb="FF000000"/>
      </bottom>
      <diagonal/>
    </border>
    <border>
      <left/>
      <right/>
      <top/>
      <bottom style="thin">
        <color rgb="FFDEE2E6"/>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7">
    <xf numFmtId="0" fontId="0" fillId="0" borderId="0" xfId="0"/>
    <xf numFmtId="0" fontId="1" fillId="2" borderId="1" xfId="0" applyFont="1" applyFill="1" applyBorder="1" applyAlignment="1">
      <alignment vertical="center" wrapText="1"/>
    </xf>
    <xf numFmtId="0" fontId="2" fillId="2" borderId="0" xfId="0" applyFont="1" applyFill="1"/>
    <xf numFmtId="0" fontId="0" fillId="3" borderId="0" xfId="0" applyFill="1"/>
    <xf numFmtId="0" fontId="3" fillId="0" borderId="0" xfId="0" applyFont="1"/>
    <xf numFmtId="0" fontId="7" fillId="0" borderId="0" xfId="0" applyFont="1" applyAlignment="1">
      <alignment vertical="center"/>
    </xf>
    <xf numFmtId="0" fontId="1" fillId="2" borderId="0" xfId="0" applyFont="1" applyFill="1" applyAlignment="1">
      <alignment vertical="center" wrapText="1"/>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6" fillId="0" borderId="0" xfId="0" applyFont="1" applyAlignment="1">
      <alignment horizontal="left" vertical="center" inden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4" borderId="1" xfId="0" applyFont="1" applyFill="1" applyBorder="1" applyAlignment="1">
      <alignment vertical="center" wrapText="1"/>
    </xf>
    <xf numFmtId="0" fontId="0" fillId="5" borderId="0" xfId="0" applyFill="1"/>
    <xf numFmtId="0" fontId="5" fillId="0" borderId="0" xfId="0" applyFont="1" applyAlignment="1">
      <alignment horizontal="left" vertical="center" indent="1"/>
    </xf>
    <xf numFmtId="0" fontId="0" fillId="0" borderId="3" xfId="0" applyBorder="1"/>
    <xf numFmtId="0" fontId="3" fillId="0" borderId="4" xfId="0" applyFont="1" applyBorder="1"/>
    <xf numFmtId="0" fontId="0" fillId="0" borderId="4" xfId="0" applyBorder="1"/>
    <xf numFmtId="0" fontId="0" fillId="0" borderId="5" xfId="0" applyBorder="1"/>
    <xf numFmtId="0" fontId="3" fillId="0" borderId="6" xfId="0" applyFont="1" applyBorder="1"/>
    <xf numFmtId="0" fontId="0" fillId="0" borderId="7" xfId="0" applyBorder="1"/>
    <xf numFmtId="0" fontId="5" fillId="0" borderId="8" xfId="0" applyFont="1" applyBorder="1" applyAlignment="1">
      <alignment horizontal="left" vertical="center" indent="1"/>
    </xf>
    <xf numFmtId="0" fontId="0" fillId="0" borderId="9" xfId="0" applyBorder="1"/>
    <xf numFmtId="0" fontId="0" fillId="0" borderId="10" xfId="0" applyBorder="1"/>
    <xf numFmtId="0" fontId="0" fillId="0" borderId="12" xfId="0" applyBorder="1"/>
    <xf numFmtId="0" fontId="0" fillId="0" borderId="13" xfId="0" applyBorder="1"/>
    <xf numFmtId="0" fontId="13" fillId="3" borderId="11" xfId="0" applyFont="1" applyFill="1" applyBorder="1"/>
    <xf numFmtId="0" fontId="0" fillId="3" borderId="12" xfId="0" applyFill="1" applyBorder="1"/>
    <xf numFmtId="0" fontId="0" fillId="3" borderId="13" xfId="0" applyFill="1" applyBorder="1"/>
    <xf numFmtId="0" fontId="3" fillId="0" borderId="3" xfId="0" applyFont="1" applyBorder="1"/>
    <xf numFmtId="0" fontId="5" fillId="0" borderId="8" xfId="0" applyFont="1" applyBorder="1"/>
    <xf numFmtId="0" fontId="3" fillId="3" borderId="6" xfId="0" applyFont="1" applyFill="1" applyBorder="1"/>
    <xf numFmtId="0" fontId="3" fillId="0" borderId="0" xfId="0" applyFont="1" applyAlignment="1">
      <alignment horizontal="left" vertical="center" indent="1"/>
    </xf>
    <xf numFmtId="0" fontId="3" fillId="0" borderId="6" xfId="0" applyFont="1" applyBorder="1" applyAlignment="1">
      <alignment horizontal="left" vertical="center" indent="1"/>
    </xf>
    <xf numFmtId="0" fontId="0" fillId="0" borderId="11" xfId="0" applyBorder="1"/>
    <xf numFmtId="0" fontId="4" fillId="0" borderId="0" xfId="0" applyFont="1" applyAlignment="1">
      <alignment horizontal="left" vertical="center" indent="1"/>
    </xf>
    <xf numFmtId="0" fontId="4" fillId="0" borderId="3" xfId="0" applyFont="1" applyBorder="1" applyAlignment="1">
      <alignment horizontal="left" vertical="center" indent="1"/>
    </xf>
    <xf numFmtId="0" fontId="4" fillId="0" borderId="6" xfId="0" applyFont="1" applyBorder="1" applyAlignment="1">
      <alignment horizontal="left" vertical="center" indent="1"/>
    </xf>
    <xf numFmtId="0" fontId="4" fillId="0" borderId="8" xfId="0" applyFont="1" applyBorder="1" applyAlignment="1">
      <alignment horizontal="left" vertical="center" indent="1"/>
    </xf>
    <xf numFmtId="0" fontId="0" fillId="0" borderId="6" xfId="0" applyBorder="1"/>
    <xf numFmtId="0" fontId="0" fillId="0" borderId="8" xfId="0" applyBorder="1"/>
    <xf numFmtId="0" fontId="1" fillId="5" borderId="1" xfId="0" applyFont="1" applyFill="1" applyBorder="1" applyAlignment="1">
      <alignment vertical="center" wrapText="1"/>
    </xf>
    <xf numFmtId="0" fontId="3" fillId="0" borderId="8" xfId="0" applyFont="1" applyBorder="1"/>
    <xf numFmtId="0" fontId="0" fillId="3" borderId="3" xfId="0" applyFill="1" applyBorder="1"/>
    <xf numFmtId="0" fontId="0" fillId="3" borderId="8" xfId="0" applyFill="1" applyBorder="1"/>
    <xf numFmtId="0" fontId="0" fillId="3" borderId="9" xfId="0" applyFill="1" applyBorder="1"/>
    <xf numFmtId="0" fontId="0" fillId="3" borderId="11" xfId="0" applyFill="1" applyBorder="1"/>
    <xf numFmtId="0" fontId="13" fillId="0" borderId="0" xfId="0" applyFont="1"/>
    <xf numFmtId="0" fontId="0" fillId="3" borderId="14" xfId="0" applyFill="1" applyBorder="1"/>
    <xf numFmtId="0" fontId="0" fillId="0" borderId="15" xfId="0" applyBorder="1"/>
    <xf numFmtId="0" fontId="15" fillId="0" borderId="0" xfId="0" applyFont="1"/>
    <xf numFmtId="0" fontId="15" fillId="2" borderId="0" xfId="0" applyFont="1" applyFill="1"/>
    <xf numFmtId="0" fontId="16" fillId="2" borderId="2" xfId="0" applyFont="1" applyFill="1" applyBorder="1" applyAlignment="1">
      <alignment vertical="center" wrapText="1"/>
    </xf>
    <xf numFmtId="0" fontId="17" fillId="2" borderId="17" xfId="0" applyFont="1" applyFill="1" applyBorder="1" applyAlignment="1">
      <alignment vertical="center" wrapText="1"/>
    </xf>
    <xf numFmtId="0" fontId="17" fillId="2" borderId="16" xfId="0" applyFont="1" applyFill="1" applyBorder="1" applyAlignment="1">
      <alignment vertical="center" wrapText="1"/>
    </xf>
    <xf numFmtId="0" fontId="17" fillId="2" borderId="18" xfId="0" applyFont="1" applyFill="1" applyBorder="1" applyAlignment="1">
      <alignment vertical="center" wrapText="1"/>
    </xf>
    <xf numFmtId="0" fontId="0" fillId="2" borderId="0" xfId="0" applyFill="1"/>
    <xf numFmtId="0" fontId="18" fillId="2" borderId="17" xfId="0" applyFont="1" applyFill="1" applyBorder="1" applyAlignment="1">
      <alignment horizontal="center" vertical="center" wrapText="1"/>
    </xf>
    <xf numFmtId="0" fontId="3" fillId="2" borderId="19" xfId="0" applyFont="1" applyFill="1" applyBorder="1"/>
    <xf numFmtId="0" fontId="0" fillId="2" borderId="19" xfId="0" applyFill="1" applyBorder="1"/>
    <xf numFmtId="0" fontId="3" fillId="2" borderId="20" xfId="0" applyFont="1" applyFill="1" applyBorder="1" applyAlignment="1">
      <alignment horizontal="left" vertical="center" indent="1"/>
    </xf>
    <xf numFmtId="0" fontId="3" fillId="2" borderId="21" xfId="0" applyFont="1" applyFill="1" applyBorder="1" applyAlignment="1">
      <alignment horizontal="left" vertical="center" indent="1"/>
    </xf>
    <xf numFmtId="0" fontId="3" fillId="2" borderId="21" xfId="0" applyFont="1" applyFill="1" applyBorder="1"/>
    <xf numFmtId="0" fontId="0" fillId="2" borderId="22" xfId="0" applyFill="1" applyBorder="1"/>
    <xf numFmtId="0" fontId="3" fillId="2" borderId="23" xfId="0" applyFont="1" applyFill="1" applyBorder="1"/>
    <xf numFmtId="0" fontId="0" fillId="2" borderId="24" xfId="0" applyFill="1" applyBorder="1"/>
    <xf numFmtId="0" fontId="0" fillId="2" borderId="23" xfId="0" applyFill="1" applyBorder="1"/>
    <xf numFmtId="0" fontId="0" fillId="0" borderId="25" xfId="0" applyBorder="1"/>
    <xf numFmtId="0" fontId="0" fillId="3" borderId="23" xfId="0" applyFill="1" applyBorder="1"/>
    <xf numFmtId="0" fontId="0" fillId="3" borderId="15" xfId="0" applyFill="1" applyBorder="1"/>
    <xf numFmtId="0" fontId="0" fillId="3" borderId="19" xfId="0" applyFill="1" applyBorder="1"/>
    <xf numFmtId="0" fontId="3" fillId="3" borderId="23" xfId="0" applyFont="1" applyFill="1" applyBorder="1"/>
    <xf numFmtId="0" fontId="3" fillId="3" borderId="19" xfId="0" applyFont="1" applyFill="1" applyBorder="1"/>
    <xf numFmtId="0" fontId="3" fillId="3" borderId="0" xfId="0" applyFont="1" applyFill="1"/>
    <xf numFmtId="0" fontId="3" fillId="3" borderId="8" xfId="0" applyFont="1" applyFill="1" applyBorder="1"/>
  </cellXfs>
  <cellStyles count="1">
    <cellStyle name="Normal" xfId="0" builtinId="0"/>
  </cellStyles>
  <dxfs count="16">
    <dxf>
      <font>
        <color rgb="FF9C0006"/>
      </font>
      <fill>
        <patternFill>
          <bgColor rgb="FFFFC7CE"/>
        </patternFill>
      </fill>
    </dxf>
    <dxf>
      <font>
        <color rgb="FF9C0006"/>
      </font>
      <fill>
        <patternFill>
          <bgColor rgb="FFFFC7CE"/>
        </patternFill>
      </fill>
    </dxf>
    <dxf>
      <fill>
        <patternFill>
          <bgColor rgb="FFFFFF00"/>
        </patternFill>
      </fill>
    </dxf>
    <dxf>
      <fill>
        <patternFill>
          <bgColor theme="4"/>
        </patternFill>
      </fill>
    </dxf>
    <dxf>
      <fill>
        <patternFill>
          <bgColor rgb="FFFF0000"/>
        </patternFill>
      </fill>
    </dxf>
    <dxf>
      <font>
        <color rgb="FF9C0006"/>
      </font>
      <fill>
        <patternFill>
          <bgColor rgb="FFFFC7CE"/>
        </patternFill>
      </fill>
    </dxf>
    <dxf>
      <fill>
        <patternFill patternType="solid">
          <fgColor rgb="FF66A3FF"/>
          <bgColor rgb="FF66A3FF"/>
        </patternFill>
      </fill>
    </dxf>
    <dxf>
      <fill>
        <patternFill patternType="solid">
          <fgColor rgb="FFFFFF99"/>
          <bgColor rgb="FFFFFF99"/>
        </patternFill>
      </fill>
    </dxf>
    <dxf>
      <fill>
        <patternFill patternType="solid">
          <fgColor rgb="FFFF6666"/>
          <bgColor rgb="FFFF6666"/>
        </patternFill>
      </fill>
    </dxf>
    <dxf>
      <fill>
        <patternFill patternType="solid">
          <fgColor rgb="FF66A3FF"/>
          <bgColor rgb="FF66A3FF"/>
        </patternFill>
      </fill>
    </dxf>
    <dxf>
      <fill>
        <patternFill patternType="solid">
          <fgColor rgb="FFFFFF99"/>
          <bgColor rgb="FFFFFF99"/>
        </patternFill>
      </fill>
    </dxf>
    <dxf>
      <fill>
        <patternFill patternType="solid">
          <fgColor rgb="FFFF6666"/>
          <bgColor rgb="FFFF6666"/>
        </patternFill>
      </fill>
    </dxf>
    <dxf>
      <fill>
        <patternFill>
          <bgColor rgb="FFFFFF00"/>
        </patternFill>
      </fill>
    </dxf>
    <dxf>
      <fill>
        <patternFill>
          <bgColor theme="4"/>
        </patternFill>
      </fill>
    </dxf>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4"/>
  <sheetViews>
    <sheetView tabSelected="1" zoomScale="90" zoomScaleNormal="90" workbookViewId="0">
      <selection activeCell="A2" sqref="A2:G2"/>
    </sheetView>
  </sheetViews>
  <sheetFormatPr defaultRowHeight="14.4"/>
  <cols>
    <col min="1" max="5" width="3.33203125" style="2" bestFit="1" customWidth="1"/>
    <col min="6" max="6" width="3.33203125" style="2" customWidth="1"/>
    <col min="8" max="8" width="4.21875" bestFit="1" customWidth="1"/>
    <col min="9" max="12" width="3.33203125" bestFit="1" customWidth="1"/>
    <col min="13" max="13" width="3.21875" bestFit="1" customWidth="1"/>
    <col min="14" max="14" width="4.6640625" bestFit="1" customWidth="1"/>
    <col min="15" max="18" width="3.33203125" bestFit="1" customWidth="1"/>
    <col min="20" max="20" width="111.5546875" bestFit="1" customWidth="1"/>
  </cols>
  <sheetData>
    <row r="1" spans="1:20" ht="15" thickBot="1"/>
    <row r="2" spans="1:20" ht="15" thickBot="1">
      <c r="A2" s="1">
        <v>1</v>
      </c>
      <c r="B2" s="1">
        <v>15</v>
      </c>
      <c r="C2" s="1">
        <v>22</v>
      </c>
      <c r="D2" s="1">
        <v>29</v>
      </c>
      <c r="E2" s="1">
        <v>30</v>
      </c>
      <c r="F2" s="1"/>
      <c r="G2" s="1">
        <v>8</v>
      </c>
      <c r="T2" s="4" t="s">
        <v>148</v>
      </c>
    </row>
    <row r="3" spans="1:20" ht="15" thickBot="1">
      <c r="A3" s="1">
        <v>10</v>
      </c>
      <c r="B3" s="1">
        <v>15</v>
      </c>
      <c r="C3" s="1">
        <v>16</v>
      </c>
      <c r="D3" s="1">
        <v>31</v>
      </c>
      <c r="E3" s="1">
        <v>34</v>
      </c>
      <c r="F3" s="1"/>
      <c r="G3" s="1">
        <v>9</v>
      </c>
      <c r="H3" t="s">
        <v>0</v>
      </c>
      <c r="N3" t="s">
        <v>1</v>
      </c>
      <c r="T3" s="4" t="s">
        <v>149</v>
      </c>
    </row>
    <row r="4" spans="1:20" ht="15" thickBot="1">
      <c r="A4" s="1">
        <v>1</v>
      </c>
      <c r="B4" s="1">
        <v>3</v>
      </c>
      <c r="C4" s="1">
        <v>6</v>
      </c>
      <c r="D4" s="1">
        <v>14</v>
      </c>
      <c r="E4" s="1">
        <v>15</v>
      </c>
      <c r="F4" s="1"/>
      <c r="G4" s="1">
        <v>5</v>
      </c>
      <c r="H4">
        <v>1</v>
      </c>
      <c r="I4">
        <v>3</v>
      </c>
      <c r="J4">
        <v>5</v>
      </c>
      <c r="K4">
        <v>7</v>
      </c>
      <c r="L4">
        <v>9</v>
      </c>
      <c r="M4">
        <f>COUNTIF(A:E,26)</f>
        <v>22</v>
      </c>
      <c r="N4">
        <v>2</v>
      </c>
      <c r="O4">
        <v>4</v>
      </c>
      <c r="P4">
        <v>6</v>
      </c>
      <c r="Q4">
        <v>8</v>
      </c>
      <c r="R4">
        <v>10</v>
      </c>
      <c r="T4" s="4" t="s">
        <v>150</v>
      </c>
    </row>
    <row r="5" spans="1:20" ht="15" thickBot="1">
      <c r="A5" s="1">
        <v>10</v>
      </c>
      <c r="B5" s="1">
        <v>19</v>
      </c>
      <c r="C5" s="1">
        <v>22</v>
      </c>
      <c r="D5" s="1">
        <v>25</v>
      </c>
      <c r="E5" s="1">
        <v>26</v>
      </c>
      <c r="F5" s="1"/>
      <c r="G5" s="1">
        <v>8</v>
      </c>
      <c r="H5">
        <f>COUNTIF($A:$E,1)</f>
        <v>27</v>
      </c>
      <c r="I5">
        <f>COUNTIF($A:$E,3)</f>
        <v>22</v>
      </c>
      <c r="J5">
        <f>COUNTIF($A:$E,5)</f>
        <v>30</v>
      </c>
      <c r="K5">
        <f>COUNTIF($A:$E,7)</f>
        <v>26</v>
      </c>
      <c r="L5">
        <f>COUNTIF($A:$E,9)</f>
        <v>23</v>
      </c>
      <c r="N5">
        <f>COUNTIF($A:$E,2)</f>
        <v>31</v>
      </c>
      <c r="O5">
        <f>COUNTIF($A:$E,4)</f>
        <v>21</v>
      </c>
      <c r="P5">
        <f>COUNTIF($A:$E,6)</f>
        <v>22</v>
      </c>
      <c r="Q5">
        <f>COUNTIF($A:$E,8)</f>
        <v>34</v>
      </c>
      <c r="R5">
        <f>COUNTIF($A:$E,10)</f>
        <v>23</v>
      </c>
    </row>
    <row r="6" spans="1:20" ht="15" thickBot="1">
      <c r="A6" s="1">
        <v>8</v>
      </c>
      <c r="B6" s="1">
        <v>14</v>
      </c>
      <c r="C6" s="1">
        <v>15</v>
      </c>
      <c r="D6" s="1">
        <v>19</v>
      </c>
      <c r="E6" s="1">
        <v>22</v>
      </c>
      <c r="F6" s="1"/>
      <c r="G6" s="1">
        <v>5</v>
      </c>
      <c r="H6">
        <v>11</v>
      </c>
      <c r="I6">
        <v>13</v>
      </c>
      <c r="J6">
        <v>15</v>
      </c>
      <c r="K6">
        <v>17</v>
      </c>
      <c r="L6">
        <v>19</v>
      </c>
      <c r="N6">
        <v>12</v>
      </c>
      <c r="O6">
        <v>14</v>
      </c>
      <c r="P6">
        <v>16</v>
      </c>
      <c r="Q6">
        <v>18</v>
      </c>
      <c r="R6">
        <v>20</v>
      </c>
      <c r="T6" t="s">
        <v>151</v>
      </c>
    </row>
    <row r="7" spans="1:20" ht="15" thickBot="1">
      <c r="A7" s="1">
        <v>2</v>
      </c>
      <c r="B7" s="1">
        <v>7</v>
      </c>
      <c r="C7" s="1">
        <v>24</v>
      </c>
      <c r="D7" s="1">
        <v>30</v>
      </c>
      <c r="E7" s="1">
        <v>32</v>
      </c>
      <c r="G7" s="14">
        <v>12</v>
      </c>
      <c r="H7">
        <f>COUNTIF($A:$E,11)</f>
        <v>18</v>
      </c>
      <c r="I7">
        <f>COUNTIF($A:$E,13)</f>
        <v>19</v>
      </c>
      <c r="J7">
        <f>COUNTIF($A:$E,15)</f>
        <v>28</v>
      </c>
      <c r="K7">
        <f>COUNTIF($A:$E,17)</f>
        <v>19</v>
      </c>
      <c r="L7">
        <f>COUNTIF($A:$E,19)</f>
        <v>29</v>
      </c>
      <c r="N7">
        <f>COUNTIF($A:$E,12)</f>
        <v>19</v>
      </c>
      <c r="O7">
        <f>COUNTIF($A:$E,14)</f>
        <v>20</v>
      </c>
      <c r="P7">
        <f>COUNTIF($A:$E,16)</f>
        <v>22</v>
      </c>
      <c r="Q7">
        <f>COUNTIF($A:$E,18)</f>
        <v>24</v>
      </c>
      <c r="R7">
        <f>COUNTIF($A:$E,20)</f>
        <v>28</v>
      </c>
      <c r="T7" t="s">
        <v>152</v>
      </c>
    </row>
    <row r="8" spans="1:20" ht="15" thickBot="1">
      <c r="A8" s="1">
        <v>1</v>
      </c>
      <c r="B8" s="1">
        <v>7</v>
      </c>
      <c r="C8" s="1">
        <v>18</v>
      </c>
      <c r="D8" s="1">
        <v>20</v>
      </c>
      <c r="E8" s="1">
        <v>34</v>
      </c>
      <c r="G8" s="14">
        <v>1</v>
      </c>
      <c r="H8">
        <v>21</v>
      </c>
      <c r="I8">
        <v>23</v>
      </c>
      <c r="J8">
        <v>25</v>
      </c>
      <c r="K8">
        <v>27</v>
      </c>
      <c r="L8">
        <v>29</v>
      </c>
      <c r="N8">
        <v>22</v>
      </c>
      <c r="O8">
        <v>24</v>
      </c>
      <c r="P8">
        <v>26</v>
      </c>
      <c r="Q8">
        <v>28</v>
      </c>
      <c r="R8">
        <v>30</v>
      </c>
      <c r="T8" t="s">
        <v>153</v>
      </c>
    </row>
    <row r="9" spans="1:20" ht="15" thickBot="1">
      <c r="A9" s="1">
        <v>1</v>
      </c>
      <c r="B9" s="1">
        <v>7</v>
      </c>
      <c r="C9" s="1">
        <v>13</v>
      </c>
      <c r="D9" s="1">
        <v>14</v>
      </c>
      <c r="E9" s="1">
        <v>29</v>
      </c>
      <c r="G9" s="14">
        <v>6</v>
      </c>
      <c r="H9">
        <f>COUNTIF($A:$E,21)</f>
        <v>23</v>
      </c>
      <c r="I9">
        <f>COUNTIF($A:$E,23)</f>
        <v>18</v>
      </c>
      <c r="J9">
        <f>COUNTIF($A:$E,25)</f>
        <v>24</v>
      </c>
      <c r="K9">
        <f>COUNTIF($A:$E,27)</f>
        <v>21</v>
      </c>
      <c r="L9">
        <f>COUNTIF($A:$E,29)</f>
        <v>28</v>
      </c>
      <c r="N9">
        <f>COUNTIF($A:$E,22)</f>
        <v>38</v>
      </c>
      <c r="O9">
        <f>COUNTIF($A:$E,24)</f>
        <v>19</v>
      </c>
      <c r="P9">
        <f>COUNTIF($A:$E,26)</f>
        <v>22</v>
      </c>
      <c r="Q9">
        <f>COUNTIF($A:$E,28)</f>
        <v>17</v>
      </c>
      <c r="R9">
        <f>COUNTIF($A:$E,30)</f>
        <v>19</v>
      </c>
      <c r="T9" t="s">
        <v>154</v>
      </c>
    </row>
    <row r="10" spans="1:20" ht="15" thickBot="1">
      <c r="A10" s="1">
        <v>7</v>
      </c>
      <c r="B10" s="1">
        <v>26</v>
      </c>
      <c r="C10" s="1">
        <v>30</v>
      </c>
      <c r="D10" s="1">
        <v>32</v>
      </c>
      <c r="E10" s="1">
        <v>33</v>
      </c>
      <c r="G10" s="14">
        <v>9</v>
      </c>
      <c r="H10">
        <v>31</v>
      </c>
      <c r="I10">
        <v>33</v>
      </c>
      <c r="N10">
        <v>32</v>
      </c>
      <c r="O10">
        <v>34</v>
      </c>
      <c r="T10" t="s">
        <v>155</v>
      </c>
    </row>
    <row r="11" spans="1:20" ht="15" thickBot="1">
      <c r="A11" s="1">
        <v>1</v>
      </c>
      <c r="B11" s="1">
        <v>4</v>
      </c>
      <c r="C11" s="1">
        <v>19</v>
      </c>
      <c r="D11" s="1">
        <v>22</v>
      </c>
      <c r="E11" s="1">
        <v>30</v>
      </c>
      <c r="G11" s="14">
        <v>5</v>
      </c>
      <c r="H11">
        <f>COUNTIF($A:$E,31)</f>
        <v>24</v>
      </c>
      <c r="I11">
        <f>COUNTIF($A:$E,33)</f>
        <v>27</v>
      </c>
      <c r="J11" s="53"/>
      <c r="K11" s="53"/>
      <c r="L11" s="53"/>
      <c r="N11">
        <f>COUNTIF($A:$E,32)</f>
        <v>25</v>
      </c>
      <c r="O11">
        <f>COUNTIF($A:$E,34)</f>
        <v>25</v>
      </c>
      <c r="P11" s="52"/>
      <c r="T11" t="s">
        <v>156</v>
      </c>
    </row>
    <row r="12" spans="1:20" ht="15" thickBot="1">
      <c r="A12" s="1">
        <v>5</v>
      </c>
      <c r="B12" s="1">
        <v>11</v>
      </c>
      <c r="C12" s="1">
        <v>14</v>
      </c>
      <c r="D12" s="1">
        <v>22</v>
      </c>
      <c r="E12" s="1">
        <v>29</v>
      </c>
      <c r="F12" s="6"/>
      <c r="G12" s="14">
        <v>10</v>
      </c>
      <c r="T12" t="s">
        <v>157</v>
      </c>
    </row>
    <row r="13" spans="1:20" ht="15" thickBot="1">
      <c r="A13" s="1">
        <v>4</v>
      </c>
      <c r="B13" s="1">
        <v>17</v>
      </c>
      <c r="C13" s="1">
        <v>21</v>
      </c>
      <c r="D13" s="1">
        <v>22</v>
      </c>
      <c r="E13" s="1">
        <v>32</v>
      </c>
      <c r="F13" s="6"/>
      <c r="G13" s="14">
        <v>2</v>
      </c>
      <c r="T13" t="s">
        <v>158</v>
      </c>
    </row>
    <row r="14" spans="1:20" ht="15" thickBot="1">
      <c r="A14" s="1">
        <v>2</v>
      </c>
      <c r="B14" s="1">
        <v>4</v>
      </c>
      <c r="C14" s="1">
        <v>13</v>
      </c>
      <c r="D14" s="1">
        <v>24</v>
      </c>
      <c r="E14" s="1">
        <v>33</v>
      </c>
      <c r="F14" s="6"/>
      <c r="G14" s="14">
        <v>11</v>
      </c>
      <c r="T14" t="s">
        <v>159</v>
      </c>
    </row>
    <row r="15" spans="1:20" ht="15" thickBot="1">
      <c r="A15" s="1">
        <v>12</v>
      </c>
      <c r="B15" s="1">
        <v>15</v>
      </c>
      <c r="C15" s="1">
        <v>18</v>
      </c>
      <c r="D15" s="1">
        <v>21</v>
      </c>
      <c r="E15" s="1">
        <v>34</v>
      </c>
      <c r="F15" s="6"/>
      <c r="G15" s="14">
        <v>10</v>
      </c>
      <c r="T15" t="s">
        <v>160</v>
      </c>
    </row>
    <row r="16" spans="1:20" ht="15" thickBot="1">
      <c r="A16" s="1">
        <v>7</v>
      </c>
      <c r="B16" s="1">
        <v>13</v>
      </c>
      <c r="C16" s="1">
        <v>19</v>
      </c>
      <c r="D16" s="1">
        <v>21</v>
      </c>
      <c r="E16" s="1">
        <v>25</v>
      </c>
      <c r="F16" s="6"/>
      <c r="G16" s="14">
        <v>14</v>
      </c>
      <c r="T16" t="s">
        <v>161</v>
      </c>
    </row>
    <row r="17" spans="1:20" ht="15" thickBot="1">
      <c r="A17" s="1">
        <v>7</v>
      </c>
      <c r="B17" s="1">
        <v>9</v>
      </c>
      <c r="C17" s="1">
        <v>10</v>
      </c>
      <c r="D17" s="1">
        <v>22</v>
      </c>
      <c r="E17" s="1">
        <v>28</v>
      </c>
      <c r="F17" s="6"/>
      <c r="G17" s="14">
        <v>14</v>
      </c>
      <c r="T17" s="4" t="s">
        <v>168</v>
      </c>
    </row>
    <row r="18" spans="1:20" ht="15" thickBot="1">
      <c r="A18" s="1">
        <v>18</v>
      </c>
      <c r="B18" s="1">
        <v>19</v>
      </c>
      <c r="C18" s="1">
        <v>20</v>
      </c>
      <c r="D18" s="1">
        <v>22</v>
      </c>
      <c r="E18" s="1">
        <v>27</v>
      </c>
      <c r="F18" s="6"/>
      <c r="G18" s="14">
        <v>13</v>
      </c>
      <c r="H18" s="54"/>
      <c r="I18" s="54"/>
      <c r="J18" s="54"/>
      <c r="K18" s="54"/>
      <c r="L18" s="54"/>
      <c r="M18" s="52"/>
      <c r="N18" s="52"/>
      <c r="O18" s="52"/>
      <c r="P18" s="52"/>
      <c r="Q18" s="52"/>
      <c r="R18" s="52"/>
      <c r="T18" s="4" t="s">
        <v>169</v>
      </c>
    </row>
    <row r="19" spans="1:20" ht="15" thickBot="1">
      <c r="A19" s="1">
        <v>18</v>
      </c>
      <c r="B19" s="1">
        <v>20</v>
      </c>
      <c r="C19" s="1">
        <v>26</v>
      </c>
      <c r="D19" s="1">
        <v>27</v>
      </c>
      <c r="E19" s="1">
        <v>34</v>
      </c>
      <c r="F19" s="6"/>
      <c r="G19" s="14">
        <v>6</v>
      </c>
      <c r="H19" s="54"/>
      <c r="I19" s="54"/>
      <c r="J19" s="54"/>
      <c r="K19" s="54"/>
      <c r="L19" s="54"/>
      <c r="M19" s="52"/>
      <c r="N19" s="52"/>
      <c r="O19" s="52"/>
      <c r="P19" s="52"/>
      <c r="Q19" s="52"/>
      <c r="R19" s="52"/>
      <c r="T19" s="4" t="s">
        <v>170</v>
      </c>
    </row>
    <row r="20" spans="1:20" ht="15" thickBot="1">
      <c r="A20" s="1">
        <v>17</v>
      </c>
      <c r="B20" s="1">
        <v>18</v>
      </c>
      <c r="C20" s="1">
        <v>27</v>
      </c>
      <c r="D20" s="1">
        <v>31</v>
      </c>
      <c r="E20" s="1">
        <v>34</v>
      </c>
      <c r="F20" s="6"/>
      <c r="G20" s="14">
        <v>13</v>
      </c>
      <c r="H20" s="54"/>
      <c r="I20" s="54"/>
      <c r="J20" s="54"/>
      <c r="K20" s="54"/>
      <c r="L20" s="54"/>
      <c r="M20" s="52"/>
      <c r="N20" s="52"/>
      <c r="O20" s="52"/>
      <c r="P20" s="52"/>
      <c r="Q20" s="52"/>
      <c r="R20" s="52"/>
    </row>
    <row r="21" spans="1:20" ht="15" thickBot="1">
      <c r="A21" s="1">
        <v>11</v>
      </c>
      <c r="B21" s="1">
        <v>20</v>
      </c>
      <c r="C21" s="1">
        <v>27</v>
      </c>
      <c r="D21" s="1">
        <v>31</v>
      </c>
      <c r="E21" s="1">
        <v>32</v>
      </c>
      <c r="F21" s="6"/>
      <c r="G21" s="14">
        <v>8</v>
      </c>
      <c r="H21" s="54"/>
      <c r="I21" s="54"/>
      <c r="J21" s="54"/>
      <c r="K21" s="54"/>
      <c r="L21" s="54"/>
      <c r="M21" s="52"/>
      <c r="N21" s="52"/>
      <c r="O21" s="52"/>
      <c r="P21" s="52"/>
      <c r="Q21" s="52"/>
      <c r="R21" s="52"/>
      <c r="T21" t="s">
        <v>130</v>
      </c>
    </row>
    <row r="22" spans="1:20" ht="15" thickBot="1">
      <c r="A22" s="1">
        <v>5</v>
      </c>
      <c r="B22" s="1">
        <v>7</v>
      </c>
      <c r="C22" s="1">
        <v>11</v>
      </c>
      <c r="D22" s="1">
        <v>15</v>
      </c>
      <c r="E22" s="1">
        <v>21</v>
      </c>
      <c r="F22" s="6"/>
      <c r="G22" s="14">
        <v>6</v>
      </c>
      <c r="H22" s="52"/>
      <c r="I22" s="52"/>
      <c r="J22" s="52"/>
      <c r="K22" s="52"/>
      <c r="L22" s="52"/>
      <c r="M22" s="52"/>
      <c r="N22" s="52"/>
      <c r="O22" s="52"/>
      <c r="P22" s="52"/>
      <c r="Q22" s="52"/>
      <c r="R22" s="52"/>
      <c r="T22" t="s">
        <v>162</v>
      </c>
    </row>
    <row r="23" spans="1:20" ht="15" thickBot="1">
      <c r="A23" s="1">
        <v>4</v>
      </c>
      <c r="B23" s="1">
        <v>6</v>
      </c>
      <c r="C23" s="1">
        <v>20</v>
      </c>
      <c r="D23" s="1">
        <v>23</v>
      </c>
      <c r="E23" s="1">
        <v>33</v>
      </c>
      <c r="F23" s="6"/>
      <c r="G23" s="14">
        <v>12</v>
      </c>
      <c r="H23" s="52"/>
      <c r="I23" s="52"/>
      <c r="J23" s="52"/>
      <c r="K23" s="52"/>
      <c r="L23" s="52"/>
      <c r="M23" s="52"/>
      <c r="N23" s="52"/>
      <c r="O23" s="52"/>
      <c r="P23" s="52"/>
      <c r="Q23" s="52"/>
      <c r="R23" s="52"/>
      <c r="T23" t="s">
        <v>163</v>
      </c>
    </row>
    <row r="24" spans="1:20" ht="15" thickBot="1">
      <c r="A24" s="1">
        <v>3</v>
      </c>
      <c r="B24" s="1">
        <v>20</v>
      </c>
      <c r="C24" s="1">
        <v>25</v>
      </c>
      <c r="D24" s="1">
        <v>32</v>
      </c>
      <c r="E24" s="1">
        <v>34</v>
      </c>
      <c r="F24" s="6"/>
      <c r="G24" s="14">
        <v>13</v>
      </c>
      <c r="H24" s="54"/>
      <c r="I24" s="54"/>
      <c r="J24" s="54"/>
      <c r="K24" s="54"/>
      <c r="L24" s="54"/>
      <c r="M24" s="54"/>
      <c r="N24" s="52"/>
      <c r="O24" s="52"/>
      <c r="P24" s="52"/>
      <c r="Q24" s="52"/>
      <c r="R24" s="52"/>
      <c r="T24" s="4" t="s">
        <v>164</v>
      </c>
    </row>
    <row r="25" spans="1:20" ht="15" thickBot="1">
      <c r="A25" s="1">
        <v>2</v>
      </c>
      <c r="B25" s="1">
        <v>9</v>
      </c>
      <c r="C25" s="1">
        <v>19</v>
      </c>
      <c r="D25" s="1">
        <v>26</v>
      </c>
      <c r="E25" s="1">
        <v>29</v>
      </c>
      <c r="F25" s="6"/>
      <c r="G25" s="14">
        <v>13</v>
      </c>
      <c r="H25" s="54"/>
      <c r="I25" s="54"/>
      <c r="J25" s="54"/>
      <c r="K25" s="54"/>
      <c r="L25" s="54"/>
      <c r="M25" s="54"/>
      <c r="N25" s="52"/>
      <c r="O25" s="52"/>
      <c r="P25" s="52"/>
      <c r="Q25" s="52"/>
      <c r="R25" s="52"/>
      <c r="T25" s="4" t="s">
        <v>165</v>
      </c>
    </row>
    <row r="26" spans="1:20" ht="15" thickBot="1">
      <c r="A26" s="1">
        <v>1</v>
      </c>
      <c r="B26" s="1">
        <v>6</v>
      </c>
      <c r="C26" s="1">
        <v>21</v>
      </c>
      <c r="D26" s="1">
        <v>25</v>
      </c>
      <c r="E26" s="1">
        <v>34</v>
      </c>
      <c r="F26" s="6"/>
      <c r="G26" s="14">
        <v>4</v>
      </c>
      <c r="H26" s="54"/>
      <c r="I26" s="54"/>
      <c r="J26" s="54"/>
      <c r="K26" s="54"/>
      <c r="L26" s="54"/>
      <c r="M26" s="54"/>
      <c r="N26" s="52"/>
      <c r="O26" s="52"/>
      <c r="P26" s="52"/>
      <c r="Q26" s="52"/>
      <c r="R26" s="52"/>
      <c r="T26" t="s">
        <v>166</v>
      </c>
    </row>
    <row r="27" spans="1:20" ht="15" thickBot="1">
      <c r="A27" s="1">
        <v>6</v>
      </c>
      <c r="B27" s="1">
        <v>17</v>
      </c>
      <c r="C27" s="1">
        <v>26</v>
      </c>
      <c r="D27" s="1">
        <v>29</v>
      </c>
      <c r="E27" s="1">
        <v>32</v>
      </c>
      <c r="F27" s="6"/>
      <c r="G27" s="14">
        <v>9</v>
      </c>
      <c r="H27" s="6"/>
      <c r="I27" s="6"/>
      <c r="J27" s="6"/>
      <c r="K27" s="6"/>
      <c r="L27" s="6"/>
      <c r="M27" s="6"/>
      <c r="T27" t="s">
        <v>167</v>
      </c>
    </row>
    <row r="28" spans="1:20" ht="15" thickBot="1">
      <c r="A28" s="1">
        <v>1</v>
      </c>
      <c r="B28" s="1">
        <v>16</v>
      </c>
      <c r="C28" s="1">
        <v>24</v>
      </c>
      <c r="D28" s="1">
        <v>31</v>
      </c>
      <c r="E28" s="1">
        <v>34</v>
      </c>
      <c r="F28" s="6"/>
      <c r="G28" s="14">
        <v>5</v>
      </c>
      <c r="H28" s="6"/>
      <c r="I28" s="6"/>
      <c r="J28" s="6"/>
      <c r="K28" s="6"/>
      <c r="L28" s="6"/>
      <c r="M28" s="6"/>
    </row>
    <row r="29" spans="1:20" ht="15" thickBot="1">
      <c r="A29" s="1">
        <v>3</v>
      </c>
      <c r="B29" s="1">
        <v>14</v>
      </c>
      <c r="C29" s="1">
        <v>16</v>
      </c>
      <c r="D29" s="1">
        <v>17</v>
      </c>
      <c r="E29" s="1">
        <v>34</v>
      </c>
      <c r="F29" s="6"/>
      <c r="G29" s="14">
        <v>13</v>
      </c>
      <c r="H29" s="6"/>
      <c r="I29" s="6"/>
      <c r="J29" s="6"/>
      <c r="K29" s="6"/>
      <c r="L29" s="6"/>
      <c r="M29" s="6"/>
      <c r="T29" t="s">
        <v>131</v>
      </c>
    </row>
    <row r="30" spans="1:20" ht="15" thickBot="1">
      <c r="A30" s="1">
        <v>1</v>
      </c>
      <c r="B30" s="1">
        <v>2</v>
      </c>
      <c r="C30" s="1">
        <v>13</v>
      </c>
      <c r="D30" s="1">
        <v>16</v>
      </c>
      <c r="E30" s="1">
        <v>19</v>
      </c>
      <c r="F30" s="6"/>
      <c r="G30" s="14">
        <v>13</v>
      </c>
      <c r="H30" s="6"/>
      <c r="I30" s="6"/>
      <c r="J30" s="6"/>
      <c r="K30" s="6"/>
      <c r="L30" s="6"/>
      <c r="M30" s="6"/>
      <c r="T30" t="s">
        <v>171</v>
      </c>
    </row>
    <row r="31" spans="1:20" ht="15" thickBot="1">
      <c r="A31" s="1">
        <v>2</v>
      </c>
      <c r="B31" s="1">
        <v>6</v>
      </c>
      <c r="C31" s="1">
        <v>11</v>
      </c>
      <c r="D31" s="1">
        <v>19</v>
      </c>
      <c r="E31" s="1">
        <v>24</v>
      </c>
      <c r="F31" s="6"/>
      <c r="G31" s="14">
        <v>8</v>
      </c>
      <c r="H31" s="6"/>
      <c r="I31" s="6"/>
      <c r="J31" s="6"/>
      <c r="K31" s="6"/>
      <c r="L31" s="6"/>
      <c r="M31" s="6"/>
      <c r="T31" t="s">
        <v>172</v>
      </c>
    </row>
    <row r="32" spans="1:20" ht="15" thickBot="1">
      <c r="A32" s="1">
        <v>5</v>
      </c>
      <c r="B32" s="1">
        <v>17</v>
      </c>
      <c r="C32" s="1">
        <v>28</v>
      </c>
      <c r="D32" s="1">
        <v>29</v>
      </c>
      <c r="E32" s="1">
        <v>30</v>
      </c>
      <c r="F32" s="6"/>
      <c r="G32" s="14">
        <v>13</v>
      </c>
      <c r="H32" s="6"/>
      <c r="I32" s="6"/>
      <c r="J32" s="6"/>
      <c r="K32" s="6"/>
      <c r="L32" s="6"/>
      <c r="M32" s="6"/>
      <c r="T32" s="4"/>
    </row>
    <row r="33" spans="1:20" ht="15" thickBot="1">
      <c r="A33" s="1">
        <v>9</v>
      </c>
      <c r="B33" s="1">
        <v>14</v>
      </c>
      <c r="C33" s="1">
        <v>19</v>
      </c>
      <c r="D33" s="1">
        <v>20</v>
      </c>
      <c r="E33" s="1">
        <v>25</v>
      </c>
      <c r="F33" s="6"/>
      <c r="G33" s="14">
        <v>3</v>
      </c>
      <c r="T33" t="s">
        <v>132</v>
      </c>
    </row>
    <row r="34" spans="1:20" ht="15" thickBot="1">
      <c r="A34" s="1">
        <v>7</v>
      </c>
      <c r="B34" s="1">
        <v>10</v>
      </c>
      <c r="C34" s="1">
        <v>12</v>
      </c>
      <c r="D34" s="1">
        <v>13</v>
      </c>
      <c r="E34" s="1">
        <v>22</v>
      </c>
      <c r="F34" s="6"/>
      <c r="G34" s="14">
        <v>14</v>
      </c>
      <c r="T34" t="s">
        <v>173</v>
      </c>
    </row>
    <row r="35" spans="1:20" ht="15" thickBot="1">
      <c r="A35" s="1">
        <v>3</v>
      </c>
      <c r="B35" s="1">
        <v>11</v>
      </c>
      <c r="C35" s="1">
        <v>12</v>
      </c>
      <c r="D35" s="1">
        <v>17</v>
      </c>
      <c r="E35" s="1">
        <v>20</v>
      </c>
      <c r="F35" s="6"/>
      <c r="G35" s="14">
        <v>2</v>
      </c>
      <c r="T35" t="s">
        <v>174</v>
      </c>
    </row>
    <row r="36" spans="1:20" ht="15" thickBot="1">
      <c r="A36" s="1">
        <v>8</v>
      </c>
      <c r="B36" s="1">
        <v>18</v>
      </c>
      <c r="C36" s="1">
        <v>27</v>
      </c>
      <c r="D36" s="1">
        <v>28</v>
      </c>
      <c r="E36" s="1">
        <v>31</v>
      </c>
      <c r="F36" s="6"/>
      <c r="G36" s="14">
        <v>12</v>
      </c>
    </row>
    <row r="37" spans="1:20" ht="15" thickBot="1">
      <c r="A37" s="1">
        <v>2</v>
      </c>
      <c r="B37" s="1">
        <v>9</v>
      </c>
      <c r="C37" s="1">
        <v>15</v>
      </c>
      <c r="D37" s="1">
        <v>18</v>
      </c>
      <c r="E37" s="1">
        <v>29</v>
      </c>
      <c r="F37" s="6"/>
      <c r="G37" s="14">
        <v>9</v>
      </c>
      <c r="T37" s="4" t="s">
        <v>133</v>
      </c>
    </row>
    <row r="38" spans="1:20" ht="15" thickBot="1">
      <c r="A38" s="1">
        <v>8</v>
      </c>
      <c r="B38" s="1">
        <v>13</v>
      </c>
      <c r="C38" s="1">
        <v>26</v>
      </c>
      <c r="D38" s="1">
        <v>29</v>
      </c>
      <c r="E38" s="1">
        <v>31</v>
      </c>
      <c r="F38" s="6"/>
      <c r="G38" s="14">
        <v>13</v>
      </c>
      <c r="T38" s="4" t="s">
        <v>175</v>
      </c>
    </row>
    <row r="39" spans="1:20" ht="15" thickBot="1">
      <c r="A39" s="1">
        <v>7</v>
      </c>
      <c r="B39" s="1">
        <v>8</v>
      </c>
      <c r="C39" s="1">
        <v>10</v>
      </c>
      <c r="D39" s="1">
        <v>20</v>
      </c>
      <c r="E39" s="1">
        <v>33</v>
      </c>
      <c r="F39" s="6"/>
      <c r="G39" s="14">
        <v>14</v>
      </c>
      <c r="T39" t="s">
        <v>176</v>
      </c>
    </row>
    <row r="40" spans="1:20" ht="15" thickBot="1">
      <c r="A40" s="1">
        <v>6</v>
      </c>
      <c r="B40" s="1">
        <v>11</v>
      </c>
      <c r="C40" s="1">
        <v>14</v>
      </c>
      <c r="D40" s="1">
        <v>24</v>
      </c>
      <c r="E40" s="1">
        <v>27</v>
      </c>
      <c r="F40" s="6"/>
      <c r="G40" s="14">
        <v>14</v>
      </c>
      <c r="T40" s="49" t="s">
        <v>177</v>
      </c>
    </row>
    <row r="41" spans="1:20" ht="15" thickBot="1">
      <c r="A41" s="1">
        <v>1</v>
      </c>
      <c r="B41" s="1">
        <v>8</v>
      </c>
      <c r="C41" s="1">
        <v>23</v>
      </c>
      <c r="D41" s="1">
        <v>30</v>
      </c>
      <c r="E41" s="1">
        <v>33</v>
      </c>
      <c r="F41" s="6"/>
      <c r="G41" s="14">
        <v>10</v>
      </c>
      <c r="T41" s="34" t="s">
        <v>178</v>
      </c>
    </row>
    <row r="42" spans="1:20" ht="15" thickBot="1">
      <c r="A42" s="1">
        <v>2</v>
      </c>
      <c r="B42" s="1">
        <v>5</v>
      </c>
      <c r="C42" s="1">
        <v>16</v>
      </c>
      <c r="D42" s="1">
        <v>24</v>
      </c>
      <c r="E42" s="1">
        <v>26</v>
      </c>
      <c r="F42" s="6"/>
      <c r="G42" s="14">
        <v>11</v>
      </c>
      <c r="T42" s="34" t="s">
        <v>179</v>
      </c>
    </row>
    <row r="43" spans="1:20" ht="15" thickBot="1">
      <c r="A43" s="1">
        <v>1</v>
      </c>
      <c r="B43" s="1">
        <v>9</v>
      </c>
      <c r="C43" s="1">
        <v>14</v>
      </c>
      <c r="D43" s="1">
        <v>25</v>
      </c>
      <c r="E43" s="1">
        <v>31</v>
      </c>
      <c r="F43" s="6"/>
      <c r="G43" s="14">
        <v>10</v>
      </c>
      <c r="T43" s="34" t="s">
        <v>180</v>
      </c>
    </row>
    <row r="44" spans="1:20" ht="15" thickBot="1">
      <c r="A44" s="1">
        <v>8</v>
      </c>
      <c r="B44" s="1">
        <v>15</v>
      </c>
      <c r="C44" s="1">
        <v>24</v>
      </c>
      <c r="D44" s="1">
        <v>26</v>
      </c>
      <c r="E44" s="1">
        <v>27</v>
      </c>
      <c r="F44" s="6"/>
      <c r="G44" s="14">
        <v>14</v>
      </c>
      <c r="T44" s="34" t="s">
        <v>181</v>
      </c>
    </row>
    <row r="45" spans="1:20" ht="15" thickBot="1">
      <c r="A45" s="1">
        <v>3</v>
      </c>
      <c r="B45" s="1">
        <v>11</v>
      </c>
      <c r="C45" s="1">
        <v>24</v>
      </c>
      <c r="D45" s="1">
        <v>29</v>
      </c>
      <c r="E45" s="1">
        <v>31</v>
      </c>
      <c r="F45" s="6"/>
      <c r="G45" s="14">
        <v>10</v>
      </c>
      <c r="T45" s="34" t="s">
        <v>182</v>
      </c>
    </row>
    <row r="46" spans="1:20" ht="15" thickBot="1">
      <c r="A46" s="1">
        <v>6</v>
      </c>
      <c r="B46" s="1">
        <v>15</v>
      </c>
      <c r="C46" s="1">
        <v>19</v>
      </c>
      <c r="D46" s="1">
        <v>21</v>
      </c>
      <c r="E46" s="1">
        <v>23</v>
      </c>
      <c r="F46" s="6"/>
      <c r="G46" s="14">
        <v>12</v>
      </c>
      <c r="T46" s="34" t="s">
        <v>183</v>
      </c>
    </row>
    <row r="47" spans="1:20" ht="15" thickBot="1">
      <c r="A47" s="1">
        <v>8</v>
      </c>
      <c r="B47" s="1">
        <v>20</v>
      </c>
      <c r="C47" s="1">
        <v>24</v>
      </c>
      <c r="D47" s="1">
        <v>30</v>
      </c>
      <c r="E47" s="1">
        <v>33</v>
      </c>
      <c r="F47" s="6"/>
      <c r="G47" s="14">
        <v>12</v>
      </c>
      <c r="T47" s="34" t="s">
        <v>184</v>
      </c>
    </row>
    <row r="48" spans="1:20" ht="15" thickBot="1">
      <c r="A48" s="1">
        <v>19</v>
      </c>
      <c r="B48" s="1">
        <v>20</v>
      </c>
      <c r="C48" s="1">
        <v>24</v>
      </c>
      <c r="D48" s="1">
        <v>28</v>
      </c>
      <c r="E48" s="1">
        <v>32</v>
      </c>
      <c r="F48" s="6"/>
      <c r="G48" s="14">
        <v>13</v>
      </c>
    </row>
    <row r="49" spans="1:7" ht="15" thickBot="1">
      <c r="A49" s="1">
        <v>4</v>
      </c>
      <c r="B49" s="1">
        <v>12</v>
      </c>
      <c r="C49" s="1">
        <v>16</v>
      </c>
      <c r="D49" s="1">
        <v>28</v>
      </c>
      <c r="E49" s="1">
        <v>29</v>
      </c>
      <c r="F49" s="6"/>
      <c r="G49" s="14">
        <v>1</v>
      </c>
    </row>
    <row r="50" spans="1:7" ht="15" thickBot="1">
      <c r="A50" s="1">
        <v>2</v>
      </c>
      <c r="B50" s="1">
        <v>5</v>
      </c>
      <c r="C50" s="1">
        <v>8</v>
      </c>
      <c r="D50" s="1">
        <v>28</v>
      </c>
      <c r="E50" s="1">
        <v>33</v>
      </c>
      <c r="F50" s="6"/>
      <c r="G50" s="14">
        <v>7</v>
      </c>
    </row>
    <row r="51" spans="1:7" ht="15" thickBot="1">
      <c r="A51" s="1">
        <v>9</v>
      </c>
      <c r="B51" s="1">
        <v>15</v>
      </c>
      <c r="C51" s="1">
        <v>19</v>
      </c>
      <c r="D51" s="1">
        <v>20</v>
      </c>
      <c r="E51" s="1">
        <v>33</v>
      </c>
      <c r="F51" s="6"/>
      <c r="G51" s="14">
        <v>3</v>
      </c>
    </row>
    <row r="52" spans="1:7" ht="15" thickBot="1">
      <c r="A52" s="1">
        <v>2</v>
      </c>
      <c r="B52" s="1">
        <v>4</v>
      </c>
      <c r="C52" s="1">
        <v>12</v>
      </c>
      <c r="D52" s="1">
        <v>13</v>
      </c>
      <c r="E52" s="1">
        <v>20</v>
      </c>
      <c r="F52" s="6"/>
      <c r="G52" s="14">
        <v>10</v>
      </c>
    </row>
    <row r="53" spans="1:7" ht="15" thickBot="1">
      <c r="A53" s="1">
        <v>1</v>
      </c>
      <c r="B53" s="1">
        <v>7</v>
      </c>
      <c r="C53" s="1">
        <v>10</v>
      </c>
      <c r="D53" s="1">
        <v>11</v>
      </c>
      <c r="E53" s="1">
        <v>13</v>
      </c>
      <c r="F53" s="6"/>
      <c r="G53" s="14">
        <v>9</v>
      </c>
    </row>
    <row r="54" spans="1:7" ht="15" thickBot="1">
      <c r="A54" s="1">
        <v>15</v>
      </c>
      <c r="B54" s="1">
        <v>16</v>
      </c>
      <c r="C54" s="1">
        <v>18</v>
      </c>
      <c r="D54" s="1">
        <v>30</v>
      </c>
      <c r="E54" s="1">
        <v>33</v>
      </c>
      <c r="F54" s="6"/>
      <c r="G54" s="14">
        <v>6</v>
      </c>
    </row>
    <row r="55" spans="1:7" ht="15" thickBot="1">
      <c r="A55" s="1">
        <v>8</v>
      </c>
      <c r="B55" s="1">
        <v>9</v>
      </c>
      <c r="C55" s="1">
        <v>22</v>
      </c>
      <c r="D55" s="1">
        <v>26</v>
      </c>
      <c r="E55" s="1">
        <v>29</v>
      </c>
      <c r="F55" s="6"/>
      <c r="G55" s="14">
        <v>12</v>
      </c>
    </row>
    <row r="56" spans="1:7" ht="15" thickBot="1">
      <c r="A56" s="1">
        <v>4</v>
      </c>
      <c r="B56" s="1">
        <v>10</v>
      </c>
      <c r="C56" s="1">
        <v>11</v>
      </c>
      <c r="D56" s="1">
        <v>29</v>
      </c>
      <c r="E56" s="1">
        <v>34</v>
      </c>
      <c r="F56" s="6"/>
      <c r="G56" s="14">
        <v>11</v>
      </c>
    </row>
    <row r="57" spans="1:7" ht="15" thickBot="1">
      <c r="A57" s="1">
        <v>7</v>
      </c>
      <c r="B57" s="1">
        <v>9</v>
      </c>
      <c r="C57" s="1">
        <v>16</v>
      </c>
      <c r="D57" s="1">
        <v>21</v>
      </c>
      <c r="E57" s="1">
        <v>26</v>
      </c>
      <c r="F57" s="6"/>
      <c r="G57" s="14">
        <v>11</v>
      </c>
    </row>
    <row r="58" spans="1:7" ht="15" thickBot="1">
      <c r="A58" s="1">
        <v>3</v>
      </c>
      <c r="B58" s="1">
        <v>5</v>
      </c>
      <c r="C58" s="1">
        <v>8</v>
      </c>
      <c r="D58" s="1">
        <v>18</v>
      </c>
      <c r="E58" s="1">
        <v>34</v>
      </c>
      <c r="F58" s="6"/>
      <c r="G58" s="14">
        <v>6</v>
      </c>
    </row>
    <row r="59" spans="1:7" ht="15" thickBot="1">
      <c r="A59" s="1">
        <v>1</v>
      </c>
      <c r="B59" s="1">
        <v>12</v>
      </c>
      <c r="C59" s="1">
        <v>22</v>
      </c>
      <c r="D59" s="1">
        <v>33</v>
      </c>
      <c r="E59" s="1">
        <v>34</v>
      </c>
      <c r="F59" s="6"/>
      <c r="G59" s="14">
        <v>5</v>
      </c>
    </row>
    <row r="60" spans="1:7" ht="15" thickBot="1">
      <c r="A60" s="1">
        <v>2</v>
      </c>
      <c r="B60" s="1">
        <v>5</v>
      </c>
      <c r="C60" s="1">
        <v>11</v>
      </c>
      <c r="D60" s="1">
        <v>31</v>
      </c>
      <c r="E60" s="1">
        <v>33</v>
      </c>
      <c r="F60" s="6"/>
      <c r="G60" s="14">
        <v>9</v>
      </c>
    </row>
    <row r="61" spans="1:7" ht="15" thickBot="1">
      <c r="A61" s="1">
        <v>3</v>
      </c>
      <c r="B61" s="1">
        <v>12</v>
      </c>
      <c r="C61" s="1">
        <v>14</v>
      </c>
      <c r="D61" s="1">
        <v>15</v>
      </c>
      <c r="E61" s="1">
        <v>33</v>
      </c>
      <c r="F61" s="6"/>
      <c r="G61" s="14">
        <v>14</v>
      </c>
    </row>
    <row r="62" spans="1:7" ht="15" thickBot="1">
      <c r="A62" s="1">
        <v>1</v>
      </c>
      <c r="B62" s="1">
        <v>3</v>
      </c>
      <c r="C62" s="1">
        <v>8</v>
      </c>
      <c r="D62" s="1">
        <v>10</v>
      </c>
      <c r="E62" s="1">
        <v>34</v>
      </c>
      <c r="F62" s="6"/>
      <c r="G62" s="14">
        <v>2</v>
      </c>
    </row>
    <row r="63" spans="1:7" ht="15" thickBot="1">
      <c r="A63" s="1">
        <v>3</v>
      </c>
      <c r="B63" s="1">
        <v>6</v>
      </c>
      <c r="C63" s="1">
        <v>9</v>
      </c>
      <c r="D63" s="1">
        <v>22</v>
      </c>
      <c r="E63" s="1">
        <v>30</v>
      </c>
      <c r="F63" s="6"/>
      <c r="G63" s="14">
        <v>10</v>
      </c>
    </row>
    <row r="64" spans="1:7" ht="15" thickBot="1">
      <c r="A64" s="1">
        <v>4</v>
      </c>
      <c r="B64" s="1">
        <v>12</v>
      </c>
      <c r="C64" s="1">
        <v>18</v>
      </c>
      <c r="D64" s="1">
        <v>25</v>
      </c>
      <c r="E64" s="1">
        <v>29</v>
      </c>
      <c r="F64" s="6"/>
      <c r="G64" s="14">
        <v>13</v>
      </c>
    </row>
    <row r="65" spans="1:7" ht="15" thickBot="1">
      <c r="A65" s="1">
        <v>9</v>
      </c>
      <c r="B65" s="1">
        <v>11</v>
      </c>
      <c r="C65" s="1">
        <v>15</v>
      </c>
      <c r="D65" s="1">
        <v>18</v>
      </c>
      <c r="E65" s="1">
        <v>33</v>
      </c>
      <c r="F65" s="6"/>
      <c r="G65" s="14">
        <v>5</v>
      </c>
    </row>
    <row r="66" spans="1:7" ht="15" thickBot="1">
      <c r="A66" s="1">
        <v>8</v>
      </c>
      <c r="B66" s="1">
        <v>17</v>
      </c>
      <c r="C66" s="1">
        <v>20</v>
      </c>
      <c r="D66" s="1">
        <v>30</v>
      </c>
      <c r="E66" s="1">
        <v>34</v>
      </c>
      <c r="F66" s="6"/>
      <c r="G66" s="14">
        <v>4</v>
      </c>
    </row>
    <row r="67" spans="1:7" ht="15" thickBot="1">
      <c r="A67" s="1">
        <v>8</v>
      </c>
      <c r="B67" s="1">
        <v>21</v>
      </c>
      <c r="C67" s="1">
        <v>22</v>
      </c>
      <c r="D67" s="1">
        <v>26</v>
      </c>
      <c r="E67" s="1">
        <v>29</v>
      </c>
      <c r="F67" s="6"/>
      <c r="G67" s="14">
        <v>5</v>
      </c>
    </row>
    <row r="68" spans="1:7" ht="15" thickBot="1">
      <c r="A68" s="1">
        <v>2</v>
      </c>
      <c r="B68" s="1">
        <v>6</v>
      </c>
      <c r="C68" s="1">
        <v>19</v>
      </c>
      <c r="D68" s="1">
        <v>20</v>
      </c>
      <c r="E68" s="1">
        <v>22</v>
      </c>
      <c r="F68" s="6"/>
      <c r="G68" s="14">
        <v>10</v>
      </c>
    </row>
    <row r="69" spans="1:7" ht="15" thickBot="1">
      <c r="A69" s="1">
        <v>5</v>
      </c>
      <c r="B69" s="1">
        <v>15</v>
      </c>
      <c r="C69" s="1">
        <v>22</v>
      </c>
      <c r="D69" s="1">
        <v>25</v>
      </c>
      <c r="E69" s="1">
        <v>27</v>
      </c>
      <c r="F69" s="6"/>
      <c r="G69" s="14">
        <v>8</v>
      </c>
    </row>
    <row r="70" spans="1:7" ht="15" thickBot="1">
      <c r="A70" s="1">
        <v>5</v>
      </c>
      <c r="B70" s="1">
        <v>7</v>
      </c>
      <c r="C70" s="1">
        <v>21</v>
      </c>
      <c r="D70" s="1">
        <v>25</v>
      </c>
      <c r="E70" s="1">
        <v>32</v>
      </c>
      <c r="F70" s="6"/>
      <c r="G70" s="14">
        <v>4</v>
      </c>
    </row>
    <row r="71" spans="1:7" ht="15" thickBot="1">
      <c r="A71" s="1">
        <v>2</v>
      </c>
      <c r="B71" s="1">
        <v>8</v>
      </c>
      <c r="C71" s="1">
        <v>20</v>
      </c>
      <c r="D71" s="1">
        <v>21</v>
      </c>
      <c r="E71" s="1">
        <v>27</v>
      </c>
      <c r="F71" s="6"/>
      <c r="G71" s="14">
        <v>8</v>
      </c>
    </row>
    <row r="72" spans="1:7" ht="15" thickBot="1">
      <c r="A72" s="1">
        <v>1</v>
      </c>
      <c r="B72" s="1">
        <v>6</v>
      </c>
      <c r="C72" s="1">
        <v>10</v>
      </c>
      <c r="D72" s="1">
        <v>19</v>
      </c>
      <c r="E72" s="1">
        <v>29</v>
      </c>
      <c r="F72" s="6"/>
      <c r="G72" s="14">
        <v>8</v>
      </c>
    </row>
    <row r="73" spans="1:7" ht="15" thickBot="1">
      <c r="A73" s="1">
        <v>1</v>
      </c>
      <c r="B73" s="1">
        <v>2</v>
      </c>
      <c r="C73" s="1">
        <v>7</v>
      </c>
      <c r="D73" s="1">
        <v>14</v>
      </c>
      <c r="E73" s="1">
        <v>20</v>
      </c>
      <c r="F73" s="6"/>
      <c r="G73" s="14">
        <v>5</v>
      </c>
    </row>
    <row r="74" spans="1:7" ht="15" thickBot="1">
      <c r="A74" s="1">
        <v>3</v>
      </c>
      <c r="B74" s="1">
        <v>10</v>
      </c>
      <c r="C74" s="1">
        <v>20</v>
      </c>
      <c r="D74" s="1">
        <v>27</v>
      </c>
      <c r="E74" s="1">
        <v>33</v>
      </c>
      <c r="F74" s="6"/>
      <c r="G74" s="14">
        <v>8</v>
      </c>
    </row>
    <row r="75" spans="1:7" ht="15" thickBot="1">
      <c r="A75" s="1">
        <v>2</v>
      </c>
      <c r="B75" s="1">
        <v>24</v>
      </c>
      <c r="C75" s="1">
        <v>28</v>
      </c>
      <c r="D75" s="1">
        <v>30</v>
      </c>
      <c r="E75" s="1">
        <v>33</v>
      </c>
      <c r="F75" s="6"/>
      <c r="G75" s="14">
        <v>10</v>
      </c>
    </row>
    <row r="76" spans="1:7" ht="15" thickBot="1">
      <c r="A76" s="1">
        <v>1</v>
      </c>
      <c r="B76" s="1">
        <v>7</v>
      </c>
      <c r="C76" s="1">
        <v>8</v>
      </c>
      <c r="D76" s="1">
        <v>11</v>
      </c>
      <c r="E76" s="1">
        <v>22</v>
      </c>
      <c r="F76" s="6"/>
      <c r="G76" s="14">
        <v>11</v>
      </c>
    </row>
    <row r="77" spans="1:7" ht="15" thickBot="1">
      <c r="A77" s="1">
        <v>2</v>
      </c>
      <c r="B77" s="1">
        <v>8</v>
      </c>
      <c r="C77" s="1">
        <v>22</v>
      </c>
      <c r="D77" s="1">
        <v>25</v>
      </c>
      <c r="E77" s="1">
        <v>29</v>
      </c>
      <c r="F77" s="6"/>
      <c r="G77" s="14">
        <v>9</v>
      </c>
    </row>
    <row r="78" spans="1:7" ht="15" thickBot="1">
      <c r="A78" s="1">
        <v>5</v>
      </c>
      <c r="B78" s="1">
        <v>9</v>
      </c>
      <c r="C78" s="1">
        <v>22</v>
      </c>
      <c r="D78" s="1">
        <v>23</v>
      </c>
      <c r="E78" s="1">
        <v>25</v>
      </c>
      <c r="F78" s="6"/>
      <c r="G78" s="14">
        <v>7</v>
      </c>
    </row>
    <row r="79" spans="1:7" ht="15" thickBot="1">
      <c r="A79" s="1">
        <v>3</v>
      </c>
      <c r="B79" s="1">
        <v>17</v>
      </c>
      <c r="C79" s="1">
        <v>19</v>
      </c>
      <c r="D79" s="1">
        <v>26</v>
      </c>
      <c r="E79" s="1">
        <v>29</v>
      </c>
      <c r="F79" s="6"/>
      <c r="G79" s="14">
        <v>8</v>
      </c>
    </row>
    <row r="80" spans="1:7" ht="15" thickBot="1">
      <c r="A80" s="1">
        <v>7</v>
      </c>
      <c r="B80" s="1">
        <v>14</v>
      </c>
      <c r="C80" s="1">
        <v>15</v>
      </c>
      <c r="D80" s="1">
        <v>18</v>
      </c>
      <c r="E80" s="1">
        <v>23</v>
      </c>
      <c r="F80" s="6"/>
      <c r="G80" s="14">
        <v>5</v>
      </c>
    </row>
    <row r="81" spans="1:7" ht="15" thickBot="1">
      <c r="A81" s="1">
        <v>4</v>
      </c>
      <c r="B81" s="1">
        <v>6</v>
      </c>
      <c r="C81" s="1">
        <v>7</v>
      </c>
      <c r="D81" s="1">
        <v>14</v>
      </c>
      <c r="E81" s="1">
        <v>29</v>
      </c>
      <c r="F81" s="6"/>
      <c r="G81" s="14">
        <v>4</v>
      </c>
    </row>
    <row r="82" spans="1:7" ht="15" thickBot="1">
      <c r="A82" s="1">
        <v>4</v>
      </c>
      <c r="B82" s="1">
        <v>6</v>
      </c>
      <c r="C82" s="1">
        <v>12</v>
      </c>
      <c r="D82" s="1">
        <v>18</v>
      </c>
      <c r="E82" s="1">
        <v>25</v>
      </c>
      <c r="F82" s="6"/>
      <c r="G82" s="14">
        <v>9</v>
      </c>
    </row>
    <row r="83" spans="1:7" ht="15" thickBot="1">
      <c r="A83" s="1">
        <v>3</v>
      </c>
      <c r="B83" s="1">
        <v>12</v>
      </c>
      <c r="C83" s="1">
        <v>13</v>
      </c>
      <c r="D83" s="1">
        <v>14</v>
      </c>
      <c r="E83" s="1">
        <v>17</v>
      </c>
      <c r="F83" s="6"/>
      <c r="G83" s="14">
        <v>12</v>
      </c>
    </row>
    <row r="84" spans="1:7" ht="15" thickBot="1">
      <c r="A84" s="1">
        <v>4</v>
      </c>
      <c r="B84" s="1">
        <v>6</v>
      </c>
      <c r="C84" s="1">
        <v>7</v>
      </c>
      <c r="D84" s="1">
        <v>16</v>
      </c>
      <c r="E84" s="1">
        <v>33</v>
      </c>
      <c r="F84" s="6"/>
      <c r="G84" s="14">
        <v>4</v>
      </c>
    </row>
    <row r="85" spans="1:7" ht="15" thickBot="1">
      <c r="A85" s="1">
        <v>4</v>
      </c>
      <c r="B85" s="1">
        <v>5</v>
      </c>
      <c r="C85" s="1">
        <v>11</v>
      </c>
      <c r="D85" s="1">
        <v>12</v>
      </c>
      <c r="E85" s="1">
        <v>18</v>
      </c>
      <c r="F85" s="6"/>
      <c r="G85" s="14">
        <v>9</v>
      </c>
    </row>
    <row r="86" spans="1:7" ht="15" thickBot="1">
      <c r="A86" s="1">
        <v>3</v>
      </c>
      <c r="B86" s="1">
        <v>5</v>
      </c>
      <c r="C86" s="1">
        <v>21</v>
      </c>
      <c r="D86" s="1">
        <v>23</v>
      </c>
      <c r="E86" s="1">
        <v>26</v>
      </c>
      <c r="F86" s="6"/>
      <c r="G86" s="14">
        <v>12</v>
      </c>
    </row>
    <row r="87" spans="1:7" ht="15" thickBot="1">
      <c r="A87" s="1">
        <v>6</v>
      </c>
      <c r="B87" s="1">
        <v>10</v>
      </c>
      <c r="C87" s="1">
        <v>16</v>
      </c>
      <c r="D87" s="1">
        <v>21</v>
      </c>
      <c r="E87" s="1">
        <v>34</v>
      </c>
      <c r="F87" s="6"/>
      <c r="G87" s="14">
        <v>9</v>
      </c>
    </row>
    <row r="88" spans="1:7" ht="15" thickBot="1">
      <c r="A88" s="1">
        <v>2</v>
      </c>
      <c r="B88" s="1">
        <v>5</v>
      </c>
      <c r="C88" s="1">
        <v>12</v>
      </c>
      <c r="D88" s="1">
        <v>22</v>
      </c>
      <c r="E88" s="1">
        <v>31</v>
      </c>
      <c r="F88" s="6"/>
      <c r="G88" s="14">
        <v>7</v>
      </c>
    </row>
    <row r="89" spans="1:7" ht="15" thickBot="1">
      <c r="A89" s="1">
        <v>4</v>
      </c>
      <c r="B89" s="1">
        <v>6</v>
      </c>
      <c r="C89" s="1">
        <v>8</v>
      </c>
      <c r="D89" s="1">
        <v>10</v>
      </c>
      <c r="E89" s="1">
        <v>31</v>
      </c>
      <c r="F89" s="6"/>
      <c r="G89" s="14">
        <v>14</v>
      </c>
    </row>
    <row r="90" spans="1:7" ht="15" thickBot="1">
      <c r="A90" s="1">
        <v>16</v>
      </c>
      <c r="B90" s="1">
        <v>19</v>
      </c>
      <c r="C90" s="1">
        <v>24</v>
      </c>
      <c r="D90" s="1">
        <v>30</v>
      </c>
      <c r="E90" s="1">
        <v>31</v>
      </c>
      <c r="F90" s="6"/>
      <c r="G90" s="14">
        <v>3</v>
      </c>
    </row>
    <row r="91" spans="1:7" ht="15" thickBot="1">
      <c r="A91" s="1">
        <v>3</v>
      </c>
      <c r="B91" s="1">
        <v>5</v>
      </c>
      <c r="C91" s="1">
        <v>25</v>
      </c>
      <c r="D91" s="1">
        <v>28</v>
      </c>
      <c r="E91" s="1">
        <v>31</v>
      </c>
      <c r="F91" s="6"/>
      <c r="G91" s="14">
        <v>4</v>
      </c>
    </row>
    <row r="92" spans="1:7" ht="15" thickBot="1">
      <c r="A92" s="1">
        <v>7</v>
      </c>
      <c r="B92" s="1">
        <v>19</v>
      </c>
      <c r="C92" s="1">
        <v>23</v>
      </c>
      <c r="D92" s="1">
        <v>27</v>
      </c>
      <c r="E92" s="1">
        <v>33</v>
      </c>
      <c r="F92" s="6"/>
      <c r="G92" s="14">
        <v>3</v>
      </c>
    </row>
    <row r="93" spans="1:7" ht="15" thickBot="1">
      <c r="A93" s="1">
        <v>2</v>
      </c>
      <c r="B93" s="1">
        <v>8</v>
      </c>
      <c r="C93" s="1">
        <v>17</v>
      </c>
      <c r="D93" s="1">
        <v>21</v>
      </c>
      <c r="E93" s="1">
        <v>31</v>
      </c>
      <c r="F93" s="6"/>
      <c r="G93" s="14">
        <v>8</v>
      </c>
    </row>
    <row r="94" spans="1:7" ht="15" thickBot="1">
      <c r="A94" s="1">
        <v>3</v>
      </c>
      <c r="B94" s="1">
        <v>19</v>
      </c>
      <c r="C94" s="1">
        <v>21</v>
      </c>
      <c r="D94" s="1">
        <v>25</v>
      </c>
      <c r="E94" s="1">
        <v>34</v>
      </c>
      <c r="F94" s="6"/>
      <c r="G94" s="14">
        <v>10</v>
      </c>
    </row>
    <row r="95" spans="1:7" ht="15" thickBot="1">
      <c r="A95" s="1">
        <v>8</v>
      </c>
      <c r="B95" s="1">
        <v>28</v>
      </c>
      <c r="C95" s="1">
        <v>30</v>
      </c>
      <c r="D95" s="1">
        <v>32</v>
      </c>
      <c r="E95" s="1">
        <v>34</v>
      </c>
      <c r="F95" s="6"/>
      <c r="G95" s="14">
        <v>3</v>
      </c>
    </row>
    <row r="96" spans="1:7" ht="15" thickBot="1">
      <c r="A96" s="1">
        <v>16</v>
      </c>
      <c r="B96" s="1">
        <v>18</v>
      </c>
      <c r="C96" s="1">
        <v>20</v>
      </c>
      <c r="D96" s="1">
        <v>21</v>
      </c>
      <c r="E96" s="1">
        <v>32</v>
      </c>
      <c r="F96" s="6"/>
      <c r="G96" s="14">
        <v>13</v>
      </c>
    </row>
    <row r="97" spans="1:7" ht="15" thickBot="1">
      <c r="A97" s="1">
        <v>8</v>
      </c>
      <c r="B97" s="1">
        <v>10</v>
      </c>
      <c r="C97" s="1">
        <v>13</v>
      </c>
      <c r="D97" s="1">
        <v>19</v>
      </c>
      <c r="E97" s="1">
        <v>22</v>
      </c>
      <c r="F97" s="6"/>
      <c r="G97" s="14">
        <v>9</v>
      </c>
    </row>
    <row r="98" spans="1:7" ht="15" thickBot="1">
      <c r="A98" s="1">
        <v>5</v>
      </c>
      <c r="B98" s="1">
        <v>22</v>
      </c>
      <c r="C98" s="1">
        <v>23</v>
      </c>
      <c r="D98" s="1">
        <v>28</v>
      </c>
      <c r="E98" s="1">
        <v>31</v>
      </c>
      <c r="F98" s="6"/>
      <c r="G98" s="14">
        <v>5</v>
      </c>
    </row>
    <row r="99" spans="1:7" ht="15" thickBot="1">
      <c r="A99" s="1">
        <v>5</v>
      </c>
      <c r="B99" s="1">
        <v>12</v>
      </c>
      <c r="C99" s="1">
        <v>24</v>
      </c>
      <c r="D99" s="1">
        <v>32</v>
      </c>
      <c r="E99" s="1">
        <v>34</v>
      </c>
      <c r="F99" s="6"/>
      <c r="G99" s="14">
        <v>1</v>
      </c>
    </row>
    <row r="100" spans="1:7" ht="15" thickBot="1">
      <c r="A100" s="1">
        <v>2</v>
      </c>
      <c r="B100" s="1">
        <v>8</v>
      </c>
      <c r="C100" s="1">
        <v>9</v>
      </c>
      <c r="D100" s="1">
        <v>15</v>
      </c>
      <c r="E100" s="1">
        <v>19</v>
      </c>
      <c r="F100" s="6"/>
      <c r="G100" s="14">
        <v>3</v>
      </c>
    </row>
    <row r="101" spans="1:7" ht="15" thickBot="1">
      <c r="A101" s="1">
        <v>2</v>
      </c>
      <c r="B101" s="1">
        <v>16</v>
      </c>
      <c r="C101" s="1">
        <v>20</v>
      </c>
      <c r="D101" s="1">
        <v>29</v>
      </c>
      <c r="E101" s="1">
        <v>34</v>
      </c>
      <c r="F101" s="6"/>
      <c r="G101" s="14">
        <v>2</v>
      </c>
    </row>
    <row r="102" spans="1:7" ht="15" thickBot="1">
      <c r="A102" s="1">
        <v>15</v>
      </c>
      <c r="B102" s="1">
        <v>17</v>
      </c>
      <c r="C102" s="1">
        <v>22</v>
      </c>
      <c r="D102" s="1">
        <v>24</v>
      </c>
      <c r="E102" s="1">
        <v>29</v>
      </c>
      <c r="F102" s="6"/>
      <c r="G102" s="14">
        <v>10</v>
      </c>
    </row>
    <row r="103" spans="1:7" ht="15" thickBot="1">
      <c r="A103" s="1">
        <v>4</v>
      </c>
      <c r="B103" s="1">
        <v>14</v>
      </c>
      <c r="C103" s="1">
        <v>15</v>
      </c>
      <c r="D103" s="1">
        <v>17</v>
      </c>
      <c r="E103" s="1">
        <v>28</v>
      </c>
      <c r="F103" s="6"/>
      <c r="G103" s="14">
        <v>3</v>
      </c>
    </row>
    <row r="104" spans="1:7" ht="15" thickBot="1">
      <c r="A104" s="1">
        <v>2</v>
      </c>
      <c r="B104" s="1">
        <v>3</v>
      </c>
      <c r="C104" s="1">
        <v>10</v>
      </c>
      <c r="D104" s="1">
        <v>16</v>
      </c>
      <c r="E104" s="1">
        <v>23</v>
      </c>
      <c r="F104" s="6"/>
      <c r="G104" s="14">
        <v>14</v>
      </c>
    </row>
    <row r="105" spans="1:7" ht="15" thickBot="1">
      <c r="A105" s="1">
        <v>4</v>
      </c>
      <c r="B105" s="1">
        <v>7</v>
      </c>
      <c r="C105" s="1">
        <v>10</v>
      </c>
      <c r="D105" s="1">
        <v>11</v>
      </c>
      <c r="E105" s="1">
        <v>27</v>
      </c>
      <c r="F105" s="6"/>
      <c r="G105" s="14">
        <v>8</v>
      </c>
    </row>
    <row r="106" spans="1:7" ht="15" thickBot="1">
      <c r="A106" s="1">
        <v>1</v>
      </c>
      <c r="B106" s="1">
        <v>5</v>
      </c>
      <c r="C106" s="1">
        <v>20</v>
      </c>
      <c r="D106" s="1">
        <v>23</v>
      </c>
      <c r="E106" s="1">
        <v>29</v>
      </c>
      <c r="F106" s="6"/>
      <c r="G106" s="14">
        <v>10</v>
      </c>
    </row>
    <row r="107" spans="1:7" ht="15" thickBot="1">
      <c r="A107" s="1">
        <v>1</v>
      </c>
      <c r="B107" s="1">
        <v>8</v>
      </c>
      <c r="C107" s="1">
        <v>16</v>
      </c>
      <c r="D107" s="1">
        <v>17</v>
      </c>
      <c r="E107" s="1">
        <v>22</v>
      </c>
      <c r="F107" s="6"/>
      <c r="G107" s="14">
        <v>14</v>
      </c>
    </row>
    <row r="108" spans="1:7" ht="15" thickBot="1">
      <c r="A108" s="1">
        <v>5</v>
      </c>
      <c r="B108" s="1">
        <v>8</v>
      </c>
      <c r="C108" s="1">
        <v>14</v>
      </c>
      <c r="D108" s="1">
        <v>15</v>
      </c>
      <c r="E108" s="1">
        <v>33</v>
      </c>
      <c r="F108" s="6"/>
      <c r="G108" s="14">
        <v>7</v>
      </c>
    </row>
    <row r="109" spans="1:7" ht="15" thickBot="1">
      <c r="A109" s="1">
        <v>2</v>
      </c>
      <c r="B109" s="1">
        <v>20</v>
      </c>
      <c r="C109" s="1">
        <v>25</v>
      </c>
      <c r="D109" s="1">
        <v>27</v>
      </c>
      <c r="E109" s="1">
        <v>33</v>
      </c>
      <c r="F109" s="6"/>
      <c r="G109" s="14">
        <v>8</v>
      </c>
    </row>
    <row r="110" spans="1:7" ht="15" thickBot="1">
      <c r="A110" s="1">
        <v>5</v>
      </c>
      <c r="B110" s="1">
        <v>7</v>
      </c>
      <c r="C110" s="1">
        <v>12</v>
      </c>
      <c r="D110" s="1">
        <v>21</v>
      </c>
      <c r="E110" s="1">
        <v>31</v>
      </c>
      <c r="F110" s="6"/>
      <c r="G110" s="14">
        <v>2</v>
      </c>
    </row>
    <row r="111" spans="1:7" ht="15" thickBot="1">
      <c r="A111" s="1">
        <v>1</v>
      </c>
      <c r="B111" s="1">
        <v>2</v>
      </c>
      <c r="C111" s="1">
        <v>4</v>
      </c>
      <c r="D111" s="1">
        <v>7</v>
      </c>
      <c r="E111" s="1">
        <v>16</v>
      </c>
      <c r="F111" s="6"/>
      <c r="G111" s="14">
        <v>7</v>
      </c>
    </row>
    <row r="112" spans="1:7" ht="15" thickBot="1">
      <c r="A112" s="1">
        <v>7</v>
      </c>
      <c r="B112" s="1">
        <v>15</v>
      </c>
      <c r="C112" s="1">
        <v>16</v>
      </c>
      <c r="D112" s="1">
        <v>26</v>
      </c>
      <c r="E112" s="1">
        <v>30</v>
      </c>
      <c r="F112" s="6"/>
      <c r="G112" s="14">
        <v>2</v>
      </c>
    </row>
    <row r="113" spans="1:7" ht="15" thickBot="1">
      <c r="A113" s="1">
        <v>9</v>
      </c>
      <c r="B113" s="1">
        <v>18</v>
      </c>
      <c r="C113" s="1">
        <v>22</v>
      </c>
      <c r="D113" s="1">
        <v>32</v>
      </c>
      <c r="E113" s="1">
        <v>33</v>
      </c>
      <c r="F113" s="6"/>
      <c r="G113" s="14">
        <v>3</v>
      </c>
    </row>
    <row r="114" spans="1:7" ht="15" thickBot="1">
      <c r="A114" s="1">
        <v>8</v>
      </c>
      <c r="B114" s="1">
        <v>10</v>
      </c>
      <c r="C114" s="1">
        <v>12</v>
      </c>
      <c r="D114" s="1">
        <v>20</v>
      </c>
      <c r="E114" s="1">
        <v>28</v>
      </c>
      <c r="F114" s="6"/>
      <c r="G114" s="14">
        <v>5</v>
      </c>
    </row>
    <row r="115" spans="1:7" ht="15" thickBot="1">
      <c r="A115" s="1">
        <v>5</v>
      </c>
      <c r="B115" s="1">
        <v>6</v>
      </c>
      <c r="C115" s="1">
        <v>21</v>
      </c>
      <c r="D115" s="1">
        <v>22</v>
      </c>
      <c r="E115" s="1">
        <v>31</v>
      </c>
      <c r="F115" s="6"/>
      <c r="G115" s="14">
        <v>9</v>
      </c>
    </row>
    <row r="116" spans="1:7" ht="15" thickBot="1">
      <c r="A116" s="1">
        <v>13</v>
      </c>
      <c r="B116" s="1">
        <v>17</v>
      </c>
      <c r="C116" s="1">
        <v>30</v>
      </c>
      <c r="D116" s="1">
        <v>32</v>
      </c>
      <c r="E116" s="1">
        <v>34</v>
      </c>
      <c r="F116" s="6"/>
      <c r="G116" s="14">
        <v>14</v>
      </c>
    </row>
    <row r="117" spans="1:7" ht="15" thickBot="1">
      <c r="A117" s="1">
        <v>14</v>
      </c>
      <c r="B117" s="1">
        <v>18</v>
      </c>
      <c r="C117" s="1">
        <v>19</v>
      </c>
      <c r="D117" s="1">
        <v>20</v>
      </c>
      <c r="E117" s="1">
        <v>27</v>
      </c>
      <c r="F117" s="6"/>
      <c r="G117" s="14">
        <v>7</v>
      </c>
    </row>
    <row r="118" spans="1:7" ht="15" thickBot="1">
      <c r="A118" s="1">
        <v>1</v>
      </c>
      <c r="B118" s="1">
        <v>9</v>
      </c>
      <c r="C118" s="1">
        <v>18</v>
      </c>
      <c r="D118" s="1">
        <v>22</v>
      </c>
      <c r="E118" s="1">
        <v>25</v>
      </c>
      <c r="F118" s="6"/>
      <c r="G118" s="14">
        <v>6</v>
      </c>
    </row>
    <row r="119" spans="1:7" ht="15" thickBot="1">
      <c r="A119" s="1">
        <v>3</v>
      </c>
      <c r="B119" s="1">
        <v>7</v>
      </c>
      <c r="C119" s="1">
        <v>8</v>
      </c>
      <c r="D119" s="1">
        <v>16</v>
      </c>
      <c r="E119" s="1">
        <v>21</v>
      </c>
      <c r="F119" s="6"/>
      <c r="G119" s="14">
        <v>14</v>
      </c>
    </row>
    <row r="120" spans="1:7" ht="15" thickBot="1">
      <c r="A120" s="1">
        <v>5</v>
      </c>
      <c r="B120" s="1">
        <v>11</v>
      </c>
      <c r="C120" s="1">
        <v>23</v>
      </c>
      <c r="D120" s="1">
        <v>27</v>
      </c>
      <c r="E120" s="1">
        <v>30</v>
      </c>
      <c r="F120" s="6"/>
      <c r="G120" s="14">
        <v>2</v>
      </c>
    </row>
    <row r="121" spans="1:7" ht="15" thickBot="1">
      <c r="A121" s="1">
        <v>12</v>
      </c>
      <c r="B121" s="1">
        <v>13</v>
      </c>
      <c r="C121" s="1">
        <v>18</v>
      </c>
      <c r="D121" s="1">
        <v>21</v>
      </c>
      <c r="E121" s="1">
        <v>26</v>
      </c>
      <c r="F121" s="6"/>
      <c r="G121" s="14">
        <v>6</v>
      </c>
    </row>
    <row r="122" spans="1:7" ht="15" thickBot="1">
      <c r="A122" s="1">
        <v>6</v>
      </c>
      <c r="B122" s="1">
        <v>7</v>
      </c>
      <c r="C122" s="1">
        <v>9</v>
      </c>
      <c r="D122" s="1">
        <v>15</v>
      </c>
      <c r="E122" s="1">
        <v>26</v>
      </c>
      <c r="F122" s="6"/>
      <c r="G122" s="14">
        <v>2</v>
      </c>
    </row>
    <row r="123" spans="1:7" ht="15" thickBot="1">
      <c r="A123" s="1">
        <v>1</v>
      </c>
      <c r="B123" s="1">
        <v>12</v>
      </c>
      <c r="C123" s="1">
        <v>22</v>
      </c>
      <c r="D123" s="1">
        <v>25</v>
      </c>
      <c r="E123" s="1">
        <v>28</v>
      </c>
      <c r="F123" s="6"/>
      <c r="G123" s="14">
        <v>12</v>
      </c>
    </row>
    <row r="124" spans="1:7" ht="15" thickBot="1">
      <c r="A124" s="1">
        <v>1</v>
      </c>
      <c r="B124" s="1">
        <v>4</v>
      </c>
      <c r="C124" s="1">
        <v>11</v>
      </c>
      <c r="D124" s="1">
        <v>13</v>
      </c>
      <c r="E124" s="1">
        <v>29</v>
      </c>
      <c r="F124" s="6"/>
      <c r="G124" s="14">
        <v>7</v>
      </c>
    </row>
    <row r="125" spans="1:7" ht="15" thickBot="1">
      <c r="A125" s="1">
        <v>1</v>
      </c>
      <c r="B125" s="1">
        <v>5</v>
      </c>
      <c r="C125" s="1">
        <v>9</v>
      </c>
      <c r="D125" s="1">
        <v>22</v>
      </c>
      <c r="E125" s="1">
        <v>24</v>
      </c>
      <c r="F125" s="6"/>
      <c r="G125" s="14">
        <v>9</v>
      </c>
    </row>
    <row r="126" spans="1:7" ht="15" thickBot="1">
      <c r="A126" s="1">
        <v>10</v>
      </c>
      <c r="B126" s="1">
        <v>13</v>
      </c>
      <c r="C126" s="1">
        <v>16</v>
      </c>
      <c r="D126" s="1">
        <v>22</v>
      </c>
      <c r="E126" s="1">
        <v>29</v>
      </c>
      <c r="F126" s="6"/>
      <c r="G126" s="14">
        <v>2</v>
      </c>
    </row>
    <row r="127" spans="1:7" ht="15" thickBot="1">
      <c r="A127" s="1">
        <v>3</v>
      </c>
      <c r="B127" s="1">
        <v>12</v>
      </c>
      <c r="C127" s="1">
        <v>13</v>
      </c>
      <c r="D127" s="1">
        <v>22</v>
      </c>
      <c r="E127" s="1">
        <v>23</v>
      </c>
      <c r="F127" s="6"/>
      <c r="G127" s="14">
        <v>4</v>
      </c>
    </row>
    <row r="128" spans="1:7" ht="15" thickBot="1">
      <c r="A128" s="1">
        <v>4</v>
      </c>
      <c r="B128" s="1">
        <v>8</v>
      </c>
      <c r="C128" s="1">
        <v>17</v>
      </c>
      <c r="D128" s="1">
        <v>22</v>
      </c>
      <c r="E128" s="1">
        <v>28</v>
      </c>
      <c r="F128" s="6"/>
      <c r="G128" s="14">
        <v>12</v>
      </c>
    </row>
    <row r="129" spans="1:7" ht="15" thickBot="1">
      <c r="A129" s="1">
        <v>2</v>
      </c>
      <c r="B129" s="1">
        <v>21</v>
      </c>
      <c r="C129" s="1">
        <v>24</v>
      </c>
      <c r="D129" s="1">
        <v>30</v>
      </c>
      <c r="E129" s="1">
        <v>33</v>
      </c>
      <c r="F129" s="6"/>
      <c r="G129" s="14">
        <v>3</v>
      </c>
    </row>
    <row r="130" spans="1:7" ht="15" thickBot="1">
      <c r="A130" s="1">
        <v>22</v>
      </c>
      <c r="B130" s="1">
        <v>25</v>
      </c>
      <c r="C130" s="1">
        <v>31</v>
      </c>
      <c r="D130" s="1">
        <v>32</v>
      </c>
      <c r="E130" s="1">
        <v>33</v>
      </c>
      <c r="F130" s="6"/>
      <c r="G130" s="14">
        <v>3</v>
      </c>
    </row>
    <row r="131" spans="1:7" ht="15" thickBot="1">
      <c r="A131" s="1">
        <v>8</v>
      </c>
      <c r="B131" s="1">
        <v>10</v>
      </c>
      <c r="C131" s="1">
        <v>11</v>
      </c>
      <c r="D131" s="1">
        <v>28</v>
      </c>
      <c r="E131" s="1">
        <v>32</v>
      </c>
      <c r="F131" s="6"/>
      <c r="G131" s="14">
        <v>1</v>
      </c>
    </row>
    <row r="132" spans="1:7" ht="15" thickBot="1">
      <c r="A132" s="1">
        <v>5</v>
      </c>
      <c r="B132" s="1">
        <v>17</v>
      </c>
      <c r="C132" s="1">
        <v>19</v>
      </c>
      <c r="D132" s="1">
        <v>23</v>
      </c>
      <c r="E132" s="1">
        <v>29</v>
      </c>
      <c r="F132" s="6"/>
      <c r="G132" s="14">
        <v>8</v>
      </c>
    </row>
    <row r="133" spans="1:7" ht="15" thickBot="1">
      <c r="A133" s="1">
        <v>1</v>
      </c>
      <c r="B133" s="1">
        <v>15</v>
      </c>
      <c r="C133" s="1">
        <v>22</v>
      </c>
      <c r="D133" s="1">
        <v>23</v>
      </c>
      <c r="E133" s="1">
        <v>32</v>
      </c>
      <c r="F133" s="6"/>
      <c r="G133" s="14">
        <v>10</v>
      </c>
    </row>
    <row r="134" spans="1:7" ht="15" thickBot="1">
      <c r="A134" s="1">
        <v>14</v>
      </c>
      <c r="B134" s="1">
        <v>15</v>
      </c>
      <c r="C134" s="1">
        <v>19</v>
      </c>
      <c r="D134" s="1">
        <v>20</v>
      </c>
      <c r="E134" s="1">
        <v>32</v>
      </c>
      <c r="F134" s="6"/>
      <c r="G134" s="14">
        <v>11</v>
      </c>
    </row>
    <row r="135" spans="1:7" ht="15" thickBot="1">
      <c r="A135" s="1">
        <v>7</v>
      </c>
      <c r="B135" s="1">
        <v>9</v>
      </c>
      <c r="C135" s="1">
        <v>14</v>
      </c>
      <c r="D135" s="1">
        <v>26</v>
      </c>
      <c r="E135" s="1">
        <v>32</v>
      </c>
      <c r="F135" s="6"/>
      <c r="G135" s="14">
        <v>8</v>
      </c>
    </row>
    <row r="136" spans="1:7" ht="15" thickBot="1">
      <c r="A136" s="1">
        <v>2</v>
      </c>
      <c r="B136" s="1">
        <v>6</v>
      </c>
      <c r="C136" s="1">
        <v>18</v>
      </c>
      <c r="D136" s="1">
        <v>26</v>
      </c>
      <c r="E136" s="1">
        <v>33</v>
      </c>
      <c r="F136" s="6"/>
      <c r="G136" s="14">
        <v>2</v>
      </c>
    </row>
    <row r="137" spans="1:7" ht="15" thickBot="1">
      <c r="A137" s="1">
        <v>7</v>
      </c>
      <c r="B137" s="1">
        <v>8</v>
      </c>
      <c r="C137" s="1">
        <v>22</v>
      </c>
      <c r="D137" s="1">
        <v>25</v>
      </c>
      <c r="E137" s="1">
        <v>32</v>
      </c>
      <c r="F137" s="6"/>
      <c r="G137" s="14">
        <v>5</v>
      </c>
    </row>
    <row r="138" spans="1:7" ht="15" thickBot="1">
      <c r="A138" s="1">
        <v>2</v>
      </c>
      <c r="B138" s="1">
        <v>15</v>
      </c>
      <c r="C138" s="1">
        <v>25</v>
      </c>
      <c r="D138" s="1">
        <v>28</v>
      </c>
      <c r="E138" s="1">
        <v>32</v>
      </c>
      <c r="F138" s="6"/>
      <c r="G138" s="14">
        <v>13</v>
      </c>
    </row>
    <row r="139" spans="1:7" ht="15" thickBot="1">
      <c r="A139" s="1">
        <v>5</v>
      </c>
      <c r="B139" s="1">
        <v>6</v>
      </c>
      <c r="C139" s="1">
        <v>8</v>
      </c>
      <c r="D139" s="1">
        <v>22</v>
      </c>
      <c r="E139" s="1">
        <v>32</v>
      </c>
      <c r="F139" s="6"/>
      <c r="G139" s="14">
        <v>8</v>
      </c>
    </row>
    <row r="140" spans="1:7" ht="15" thickBot="1">
      <c r="A140" s="1">
        <v>5</v>
      </c>
      <c r="B140" s="1">
        <v>9</v>
      </c>
      <c r="C140" s="1">
        <v>10</v>
      </c>
      <c r="D140" s="1">
        <v>13</v>
      </c>
      <c r="E140" s="1">
        <v>14</v>
      </c>
      <c r="F140" s="6"/>
      <c r="G140" s="14">
        <v>1</v>
      </c>
    </row>
    <row r="141" spans="1:7" ht="15" thickBot="1">
      <c r="A141" s="1">
        <v>3</v>
      </c>
      <c r="B141" s="1">
        <v>26</v>
      </c>
      <c r="C141" s="1">
        <v>27</v>
      </c>
      <c r="D141" s="1">
        <v>29</v>
      </c>
      <c r="E141" s="1">
        <v>33</v>
      </c>
      <c r="F141" s="6"/>
      <c r="G141" s="14">
        <v>3</v>
      </c>
    </row>
    <row r="142" spans="1:7" ht="15" thickBot="1">
      <c r="A142" s="1">
        <v>2</v>
      </c>
      <c r="B142" s="1">
        <v>5</v>
      </c>
      <c r="C142" s="1">
        <v>12</v>
      </c>
      <c r="D142" s="1">
        <v>19</v>
      </c>
      <c r="E142" s="1">
        <v>27</v>
      </c>
      <c r="F142" s="6"/>
      <c r="G142" s="14">
        <v>4</v>
      </c>
    </row>
    <row r="143" spans="1:7" ht="15" thickBot="1">
      <c r="A143" s="1">
        <v>1</v>
      </c>
      <c r="B143" s="1">
        <v>13</v>
      </c>
      <c r="C143" s="1">
        <v>15</v>
      </c>
      <c r="D143" s="1">
        <v>25</v>
      </c>
      <c r="E143" s="1">
        <v>34</v>
      </c>
      <c r="F143" s="6"/>
      <c r="G143" s="14">
        <v>10</v>
      </c>
    </row>
    <row r="144" spans="1:7" ht="15" thickBot="1">
      <c r="A144" s="1">
        <v>3</v>
      </c>
      <c r="B144" s="1">
        <v>5</v>
      </c>
      <c r="C144" s="1">
        <v>18</v>
      </c>
      <c r="D144" s="1">
        <v>23</v>
      </c>
      <c r="E144" s="1">
        <v>27</v>
      </c>
      <c r="F144" s="6"/>
      <c r="G144" s="14">
        <v>11</v>
      </c>
    </row>
    <row r="145" spans="1:7" ht="15" thickBot="1">
      <c r="A145" s="1">
        <v>3</v>
      </c>
      <c r="B145" s="1">
        <v>19</v>
      </c>
      <c r="C145" s="1">
        <v>21</v>
      </c>
      <c r="D145" s="1">
        <v>32</v>
      </c>
      <c r="E145" s="1">
        <v>33</v>
      </c>
      <c r="F145" s="6"/>
      <c r="G145" s="14">
        <v>6</v>
      </c>
    </row>
    <row r="146" spans="1:7" ht="15" thickBot="1">
      <c r="A146" s="1">
        <v>4</v>
      </c>
      <c r="B146" s="1">
        <v>15</v>
      </c>
      <c r="C146" s="1">
        <v>19</v>
      </c>
      <c r="D146" s="1">
        <v>24</v>
      </c>
      <c r="E146" s="1">
        <v>27</v>
      </c>
      <c r="F146" s="6"/>
      <c r="G146" s="14">
        <v>14</v>
      </c>
    </row>
    <row r="147" spans="1:7" ht="15" thickBot="1">
      <c r="A147" s="1">
        <v>3</v>
      </c>
      <c r="B147" s="1">
        <v>20</v>
      </c>
      <c r="C147" s="1">
        <v>21</v>
      </c>
      <c r="D147" s="1">
        <v>25</v>
      </c>
      <c r="E147" s="1">
        <v>34</v>
      </c>
      <c r="F147" s="6"/>
      <c r="G147" s="14">
        <v>10</v>
      </c>
    </row>
    <row r="148" spans="1:7" ht="15" thickBot="1">
      <c r="A148" s="1">
        <v>11</v>
      </c>
      <c r="B148" s="1">
        <v>20</v>
      </c>
      <c r="C148" s="1">
        <v>24</v>
      </c>
      <c r="D148" s="1">
        <v>26</v>
      </c>
      <c r="E148" s="1">
        <v>29</v>
      </c>
      <c r="F148" s="6"/>
      <c r="G148" s="14">
        <v>2</v>
      </c>
    </row>
    <row r="149" spans="1:7" ht="15" thickBot="1">
      <c r="A149" s="1">
        <v>4</v>
      </c>
      <c r="B149" s="1">
        <v>22</v>
      </c>
      <c r="C149" s="1">
        <v>26</v>
      </c>
      <c r="D149" s="1">
        <v>31</v>
      </c>
      <c r="E149" s="1">
        <v>32</v>
      </c>
      <c r="F149" s="6"/>
      <c r="G149" s="14">
        <v>12</v>
      </c>
    </row>
    <row r="150" spans="1:7" ht="15" thickBot="1">
      <c r="A150" s="1">
        <v>2</v>
      </c>
      <c r="B150" s="1">
        <v>5</v>
      </c>
      <c r="C150" s="1">
        <v>9</v>
      </c>
      <c r="D150" s="1">
        <v>17</v>
      </c>
      <c r="E150" s="1">
        <v>25</v>
      </c>
      <c r="F150" s="6"/>
      <c r="G150" s="14">
        <v>2</v>
      </c>
    </row>
    <row r="151" spans="1:7" ht="15" thickBot="1">
      <c r="A151" s="1">
        <v>2</v>
      </c>
      <c r="B151" s="1">
        <v>10</v>
      </c>
      <c r="C151" s="1">
        <v>15</v>
      </c>
      <c r="D151" s="1">
        <v>17</v>
      </c>
      <c r="E151" s="1">
        <v>23</v>
      </c>
      <c r="F151" s="6"/>
      <c r="G151" s="14">
        <v>3</v>
      </c>
    </row>
    <row r="152" spans="1:7" ht="15" thickBot="1">
      <c r="A152" s="1">
        <v>10</v>
      </c>
      <c r="B152" s="1">
        <v>13</v>
      </c>
      <c r="C152" s="1">
        <v>19</v>
      </c>
      <c r="D152" s="1">
        <v>27</v>
      </c>
      <c r="E152" s="1">
        <v>31</v>
      </c>
      <c r="F152" s="6"/>
      <c r="G152" s="14">
        <v>3</v>
      </c>
    </row>
    <row r="153" spans="1:7" ht="15" thickBot="1">
      <c r="A153" s="1">
        <v>1</v>
      </c>
      <c r="B153" s="1">
        <v>8</v>
      </c>
      <c r="C153" s="1">
        <v>18</v>
      </c>
      <c r="D153" s="1">
        <v>27</v>
      </c>
      <c r="E153" s="1">
        <v>29</v>
      </c>
      <c r="F153" s="6"/>
      <c r="G153" s="14">
        <v>10</v>
      </c>
    </row>
    <row r="154" spans="1:7" ht="15" thickBot="1">
      <c r="A154" s="1">
        <v>2</v>
      </c>
      <c r="B154" s="1">
        <v>4</v>
      </c>
      <c r="C154" s="1">
        <v>8</v>
      </c>
      <c r="D154" s="1">
        <v>9</v>
      </c>
      <c r="E154" s="1">
        <v>20</v>
      </c>
      <c r="F154" s="6"/>
      <c r="G154" s="14">
        <v>6</v>
      </c>
    </row>
    <row r="155" spans="1:7" ht="15" thickBot="1">
      <c r="A155" s="1">
        <v>6</v>
      </c>
      <c r="B155" s="1">
        <v>17</v>
      </c>
      <c r="C155" s="1">
        <v>18</v>
      </c>
      <c r="D155" s="1">
        <v>23</v>
      </c>
      <c r="E155" s="1">
        <v>28</v>
      </c>
      <c r="F155" s="6"/>
      <c r="G155" s="14">
        <v>12</v>
      </c>
    </row>
    <row r="156" spans="1:7" ht="15" thickBot="1">
      <c r="A156" s="1">
        <v>2</v>
      </c>
      <c r="B156" s="1">
        <v>10</v>
      </c>
      <c r="C156" s="1">
        <v>15</v>
      </c>
      <c r="D156" s="1">
        <v>16</v>
      </c>
      <c r="E156" s="1">
        <v>30</v>
      </c>
      <c r="F156" s="6"/>
      <c r="G156" s="14">
        <v>4</v>
      </c>
    </row>
    <row r="157" spans="1:7" ht="15" thickBot="1">
      <c r="A157" s="1">
        <v>5</v>
      </c>
      <c r="B157" s="1">
        <v>9</v>
      </c>
      <c r="C157" s="1">
        <v>18</v>
      </c>
      <c r="D157" s="1">
        <v>22</v>
      </c>
      <c r="E157" s="1">
        <v>31</v>
      </c>
      <c r="F157" s="6"/>
      <c r="G157" s="14">
        <v>3</v>
      </c>
    </row>
    <row r="158" spans="1:7" ht="15" thickBot="1">
      <c r="A158" s="1">
        <v>6</v>
      </c>
      <c r="B158" s="1">
        <v>9</v>
      </c>
      <c r="C158" s="1">
        <v>19</v>
      </c>
      <c r="D158" s="1">
        <v>25</v>
      </c>
      <c r="E158" s="1">
        <v>30</v>
      </c>
      <c r="F158" s="6"/>
      <c r="G158" s="14">
        <v>9</v>
      </c>
    </row>
    <row r="159" spans="1:7" ht="15" thickBot="1">
      <c r="A159" s="1">
        <v>9</v>
      </c>
      <c r="B159" s="1">
        <v>14</v>
      </c>
      <c r="C159" s="1">
        <v>29</v>
      </c>
      <c r="D159" s="1">
        <v>31</v>
      </c>
      <c r="E159" s="1">
        <v>33</v>
      </c>
      <c r="F159" s="6"/>
      <c r="G159" s="14">
        <v>5</v>
      </c>
    </row>
    <row r="160" spans="1:7" ht="15" thickBot="1">
      <c r="A160" s="1">
        <v>2</v>
      </c>
      <c r="B160" s="1">
        <v>8</v>
      </c>
      <c r="C160" s="1">
        <v>22</v>
      </c>
      <c r="D160" s="1">
        <v>31</v>
      </c>
      <c r="E160" s="1">
        <v>32</v>
      </c>
      <c r="F160" s="6"/>
      <c r="G160" s="14">
        <v>5</v>
      </c>
    </row>
    <row r="161" spans="1:7" ht="15" thickBot="1">
      <c r="A161" s="1">
        <v>6</v>
      </c>
      <c r="B161" s="1">
        <v>16</v>
      </c>
      <c r="C161" s="1">
        <v>32</v>
      </c>
      <c r="D161" s="1">
        <v>33</v>
      </c>
      <c r="E161" s="1">
        <v>34</v>
      </c>
      <c r="F161" s="6"/>
      <c r="G161" s="14">
        <v>5</v>
      </c>
    </row>
    <row r="162" spans="1:7" ht="15" thickBot="1">
      <c r="A162" s="1">
        <v>21</v>
      </c>
      <c r="B162" s="1">
        <v>23</v>
      </c>
      <c r="C162" s="1">
        <v>24</v>
      </c>
      <c r="D162" s="1">
        <v>26</v>
      </c>
      <c r="E162" s="1">
        <v>34</v>
      </c>
      <c r="F162" s="6"/>
      <c r="G162" s="14">
        <v>14</v>
      </c>
    </row>
    <row r="163" spans="1:7" ht="15" thickBot="1">
      <c r="A163" s="1">
        <v>8</v>
      </c>
      <c r="B163" s="1">
        <v>10</v>
      </c>
      <c r="C163" s="1">
        <v>16</v>
      </c>
      <c r="D163" s="1">
        <v>31</v>
      </c>
      <c r="E163" s="1">
        <v>34</v>
      </c>
      <c r="F163" s="6"/>
      <c r="G163" s="14">
        <v>10</v>
      </c>
    </row>
    <row r="164" spans="1:7" ht="15" thickBot="1">
      <c r="A164" s="1">
        <v>1</v>
      </c>
      <c r="B164" s="1">
        <v>5</v>
      </c>
      <c r="C164" s="1">
        <v>8</v>
      </c>
      <c r="D164" s="1">
        <v>13</v>
      </c>
      <c r="E164" s="1">
        <v>19</v>
      </c>
      <c r="F164" s="6"/>
      <c r="G164" s="14">
        <v>7</v>
      </c>
    </row>
  </sheetData>
  <conditionalFormatting sqref="F7:F1048576">
    <cfRule type="cellIs" dxfId="15" priority="10" operator="equal">
      <formula>38</formula>
    </cfRule>
  </conditionalFormatting>
  <conditionalFormatting sqref="H5:L5 N5:R5 H7:L7 N7:R7 H9:L9 N9:R9 H11:I11 N11:O11">
    <cfRule type="cellIs" dxfId="14" priority="6" operator="lessThanOrEqual">
      <formula>20</formula>
    </cfRule>
    <cfRule type="cellIs" dxfId="13" priority="7" operator="between">
      <formula>21</formula>
      <formula>25</formula>
    </cfRule>
    <cfRule type="cellIs" dxfId="12" priority="8" operator="greaterThanOrEqual">
      <formula>26</formula>
    </cfRule>
  </conditionalFormatting>
  <conditionalFormatting sqref="J11:L11">
    <cfRule type="cellIs" dxfId="11" priority="29" operator="greaterThanOrEqual">
      <formula>60</formula>
    </cfRule>
    <cfRule type="cellIs" dxfId="10" priority="30" operator="between">
      <formula>40</formula>
      <formula>59</formula>
    </cfRule>
    <cfRule type="cellIs" dxfId="9" priority="31" operator="lessThan">
      <formula>40</formula>
    </cfRule>
  </conditionalFormatting>
  <conditionalFormatting sqref="P11:R11">
    <cfRule type="cellIs" dxfId="8" priority="32" operator="greaterThanOrEqual">
      <formula>60</formula>
    </cfRule>
    <cfRule type="cellIs" dxfId="7" priority="33" operator="between">
      <formula>40</formula>
      <formula>59</formula>
    </cfRule>
    <cfRule type="cellIs" dxfId="6" priority="34" operator="lessThan">
      <formula>40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C482-59CC-45BC-923E-504DB44E2E22}">
  <dimension ref="A1:U34"/>
  <sheetViews>
    <sheetView workbookViewId="0">
      <selection activeCell="A17" sqref="A17"/>
    </sheetView>
  </sheetViews>
  <sheetFormatPr defaultRowHeight="14.4"/>
  <sheetData>
    <row r="1" spans="1:11" ht="15" thickBot="1">
      <c r="A1" s="43">
        <v>1</v>
      </c>
      <c r="B1" s="43">
        <v>4</v>
      </c>
      <c r="C1" s="43">
        <v>19</v>
      </c>
      <c r="D1" s="43">
        <v>22</v>
      </c>
      <c r="E1" s="43">
        <v>30</v>
      </c>
    </row>
    <row r="2" spans="1:11" ht="15" thickBot="1">
      <c r="A2" s="3" t="s">
        <v>106</v>
      </c>
      <c r="F2" s="19"/>
      <c r="G2" s="19"/>
      <c r="H2" s="19"/>
      <c r="I2" s="19"/>
      <c r="J2" s="19"/>
      <c r="K2" s="20"/>
    </row>
    <row r="3" spans="1:11">
      <c r="A3" s="17" t="s">
        <v>107</v>
      </c>
      <c r="B3" s="19"/>
      <c r="C3" s="19"/>
      <c r="D3" s="19"/>
      <c r="E3" s="19"/>
      <c r="K3" s="22"/>
    </row>
    <row r="4" spans="1:11">
      <c r="A4" s="41" t="s">
        <v>108</v>
      </c>
      <c r="K4" s="22"/>
    </row>
    <row r="5" spans="1:11">
      <c r="A5" s="41"/>
      <c r="K5" s="22"/>
    </row>
    <row r="6" spans="1:11">
      <c r="A6" s="41" t="s">
        <v>109</v>
      </c>
      <c r="K6" s="22"/>
    </row>
    <row r="7" spans="1:11">
      <c r="A7" s="41"/>
      <c r="K7" s="22"/>
    </row>
    <row r="8" spans="1:11" ht="15" thickBot="1">
      <c r="A8" s="41" t="s">
        <v>110</v>
      </c>
      <c r="F8" s="24"/>
      <c r="G8" s="24"/>
      <c r="H8" s="24"/>
      <c r="I8" s="24"/>
      <c r="J8" s="24"/>
      <c r="K8" s="25"/>
    </row>
    <row r="9" spans="1:11" ht="15" thickBot="1">
      <c r="A9" s="42"/>
      <c r="B9" s="24"/>
      <c r="C9" s="24"/>
      <c r="D9" s="24"/>
      <c r="E9" s="24"/>
    </row>
    <row r="10" spans="1:11">
      <c r="A10" s="3" t="s">
        <v>111</v>
      </c>
      <c r="B10" s="3"/>
      <c r="C10" s="3"/>
    </row>
    <row r="12" spans="1:11" ht="15" thickBot="1">
      <c r="A12" s="3" t="s">
        <v>64</v>
      </c>
      <c r="B12" t="s">
        <v>114</v>
      </c>
    </row>
    <row r="13" spans="1:11">
      <c r="A13" s="31" t="s">
        <v>112</v>
      </c>
      <c r="B13" s="19"/>
      <c r="C13" s="19"/>
      <c r="D13" s="19"/>
      <c r="E13" s="19"/>
      <c r="F13" s="20"/>
    </row>
    <row r="14" spans="1:11" ht="15" thickBot="1">
      <c r="A14" s="44" t="s">
        <v>113</v>
      </c>
      <c r="B14" s="24"/>
      <c r="C14" s="24"/>
      <c r="D14" s="24"/>
      <c r="E14" s="24"/>
      <c r="F14" s="25"/>
    </row>
    <row r="15" spans="1:11">
      <c r="A15" s="3" t="s">
        <v>115</v>
      </c>
      <c r="B15" s="3"/>
      <c r="C15" s="3"/>
      <c r="D15" s="3"/>
      <c r="E15" s="3"/>
    </row>
    <row r="16" spans="1:11">
      <c r="A16" s="3" t="s">
        <v>71</v>
      </c>
    </row>
    <row r="17" spans="1:21" ht="15" thickBot="1">
      <c r="A17" t="s">
        <v>118</v>
      </c>
    </row>
    <row r="18" spans="1:21">
      <c r="A18" s="31" t="s">
        <v>116</v>
      </c>
      <c r="B18" s="19"/>
      <c r="C18" s="19"/>
      <c r="D18" s="19"/>
      <c r="E18" s="19"/>
      <c r="F18" s="19"/>
      <c r="G18" s="19"/>
      <c r="H18" s="19"/>
      <c r="I18" s="19"/>
      <c r="J18" s="20"/>
    </row>
    <row r="19" spans="1:21" ht="15" thickBot="1">
      <c r="A19" s="44" t="s">
        <v>117</v>
      </c>
      <c r="B19" s="24"/>
      <c r="C19" s="24"/>
      <c r="D19" s="24"/>
      <c r="E19" s="24"/>
      <c r="F19" s="24"/>
      <c r="G19" s="24"/>
      <c r="H19" s="24"/>
      <c r="I19" s="24"/>
      <c r="J19" s="25"/>
    </row>
    <row r="20" spans="1:21">
      <c r="A20" t="s">
        <v>63</v>
      </c>
    </row>
    <row r="21" spans="1:21">
      <c r="A21" s="3" t="s">
        <v>119</v>
      </c>
      <c r="B21" s="3"/>
      <c r="C21" s="3"/>
      <c r="D21" s="3"/>
      <c r="E21" s="3"/>
      <c r="F21" s="3"/>
      <c r="G21" s="3"/>
      <c r="H21" s="3"/>
      <c r="I21" s="3"/>
      <c r="J21" s="3"/>
      <c r="K21" s="3"/>
      <c r="L21" s="3"/>
      <c r="M21" s="3"/>
      <c r="N21" s="3"/>
    </row>
    <row r="22" spans="1:21" ht="15" thickBot="1">
      <c r="A22" t="s">
        <v>79</v>
      </c>
    </row>
    <row r="23" spans="1:21">
      <c r="A23" s="45" t="s">
        <v>104</v>
      </c>
      <c r="B23" s="19"/>
      <c r="C23" s="19"/>
      <c r="D23" s="20"/>
    </row>
    <row r="24" spans="1:21" ht="15" thickBot="1">
      <c r="A24" s="46" t="s">
        <v>105</v>
      </c>
      <c r="B24" s="47"/>
      <c r="C24" s="47"/>
      <c r="D24" s="25"/>
    </row>
    <row r="25" spans="1:21" ht="15" thickBot="1">
      <c r="A25" s="3" t="s">
        <v>85</v>
      </c>
    </row>
    <row r="26" spans="1:21" ht="15" thickBot="1">
      <c r="A26" s="48" t="s">
        <v>120</v>
      </c>
      <c r="B26" s="29"/>
      <c r="C26" s="29"/>
      <c r="D26" s="29"/>
      <c r="E26" s="29"/>
      <c r="F26" s="29"/>
      <c r="G26" s="30"/>
    </row>
    <row r="28" spans="1:21">
      <c r="A28" s="3" t="s">
        <v>91</v>
      </c>
    </row>
    <row r="29" spans="1:21" ht="15" thickBot="1">
      <c r="A29" s="4" t="s">
        <v>121</v>
      </c>
    </row>
    <row r="30" spans="1:21">
      <c r="A30" s="17" t="s">
        <v>122</v>
      </c>
      <c r="B30" s="19"/>
      <c r="C30" s="19"/>
      <c r="D30" s="19"/>
      <c r="E30" s="19"/>
      <c r="F30" s="19"/>
      <c r="G30" s="19"/>
      <c r="H30" s="19"/>
      <c r="I30" s="19"/>
      <c r="J30" s="19"/>
      <c r="K30" s="19"/>
      <c r="L30" s="19"/>
      <c r="M30" s="19"/>
      <c r="N30" s="19"/>
      <c r="O30" s="19"/>
      <c r="P30" s="19"/>
      <c r="Q30" s="19"/>
      <c r="R30" s="19"/>
      <c r="S30" s="19"/>
      <c r="T30" s="19"/>
      <c r="U30" s="20"/>
    </row>
    <row r="31" spans="1:21">
      <c r="A31" s="41"/>
      <c r="U31" s="22"/>
    </row>
    <row r="32" spans="1:21">
      <c r="A32" s="41" t="s">
        <v>123</v>
      </c>
      <c r="U32" s="22"/>
    </row>
    <row r="33" spans="1:21" ht="15" thickBot="1">
      <c r="A33" s="42"/>
      <c r="B33" s="24"/>
      <c r="C33" s="24"/>
      <c r="D33" s="24"/>
      <c r="E33" s="24"/>
      <c r="F33" s="24"/>
      <c r="G33" s="24"/>
      <c r="H33" s="24"/>
      <c r="I33" s="24"/>
      <c r="J33" s="24"/>
      <c r="K33" s="24"/>
      <c r="L33" s="24"/>
      <c r="M33" s="24"/>
      <c r="N33" s="24"/>
      <c r="O33" s="24"/>
      <c r="P33" s="24"/>
      <c r="Q33" s="24"/>
      <c r="R33" s="24"/>
      <c r="S33" s="24"/>
      <c r="T33" s="24"/>
      <c r="U33" s="25"/>
    </row>
    <row r="34" spans="1:21">
      <c r="A34" s="3" t="s">
        <v>124</v>
      </c>
      <c r="B34" s="3"/>
      <c r="C34" s="3"/>
      <c r="D34" s="3"/>
      <c r="E34" s="3"/>
      <c r="F34" s="3"/>
      <c r="G34" s="3"/>
      <c r="H34" s="3"/>
      <c r="I34" s="3"/>
      <c r="J34" s="3"/>
      <c r="K34" s="3"/>
      <c r="L34" s="3"/>
      <c r="M34" s="3"/>
      <c r="N34" s="3"/>
      <c r="O34" s="3"/>
      <c r="P34" s="3"/>
      <c r="Q34" s="3"/>
      <c r="R34" s="3"/>
      <c r="S34" s="3"/>
      <c r="T34" s="3"/>
    </row>
  </sheetData>
  <conditionalFormatting sqref="A1:E1">
    <cfRule type="cellIs" dxfId="5" priority="1" operator="equal">
      <formula>38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92E2-0EE5-4E64-A460-78CED71F43D9}">
  <dimension ref="A1:U61"/>
  <sheetViews>
    <sheetView zoomScale="70" zoomScaleNormal="70" workbookViewId="0">
      <selection activeCell="L2" sqref="L2:M39"/>
    </sheetView>
  </sheetViews>
  <sheetFormatPr defaultRowHeight="14.4"/>
  <cols>
    <col min="1" max="1" width="14.5546875" bestFit="1" customWidth="1"/>
    <col min="6" max="10" width="3" bestFit="1" customWidth="1"/>
    <col min="11" max="11" width="64.44140625" bestFit="1" customWidth="1"/>
    <col min="12" max="12" width="70.21875" style="51" bestFit="1" customWidth="1"/>
    <col min="13" max="13" width="68.88671875" style="51" bestFit="1" customWidth="1"/>
    <col min="14" max="14" width="46.6640625" style="51" bestFit="1" customWidth="1"/>
    <col min="15" max="15" width="43.77734375" bestFit="1" customWidth="1"/>
  </cols>
  <sheetData>
    <row r="1" spans="1:21" ht="15" thickBot="1">
      <c r="A1" s="3"/>
      <c r="B1" s="3"/>
      <c r="C1" s="3"/>
      <c r="F1">
        <v>10</v>
      </c>
      <c r="G1">
        <v>15</v>
      </c>
      <c r="H1">
        <v>16</v>
      </c>
      <c r="I1">
        <v>31</v>
      </c>
      <c r="J1">
        <v>34</v>
      </c>
      <c r="L1" s="50" t="s">
        <v>134</v>
      </c>
      <c r="M1" s="50" t="s">
        <v>134</v>
      </c>
      <c r="N1" s="51" t="s">
        <v>134</v>
      </c>
      <c r="S1" s="3"/>
    </row>
    <row r="2" spans="1:21">
      <c r="A2" t="s">
        <v>185</v>
      </c>
      <c r="L2" s="62"/>
      <c r="M2" s="63"/>
      <c r="N2" s="64"/>
      <c r="O2" s="65"/>
    </row>
    <row r="3" spans="1:21">
      <c r="A3" s="3" t="s">
        <v>186</v>
      </c>
      <c r="B3" s="3"/>
      <c r="C3" s="3"/>
      <c r="D3" s="3"/>
      <c r="E3" s="3"/>
      <c r="L3" s="73"/>
      <c r="M3" s="74"/>
      <c r="N3" s="60"/>
      <c r="O3" s="67"/>
    </row>
    <row r="4" spans="1:21" ht="15" thickBot="1">
      <c r="A4" t="s">
        <v>187</v>
      </c>
      <c r="K4" s="68"/>
      <c r="L4" s="73"/>
      <c r="M4" s="74"/>
      <c r="N4" s="60"/>
      <c r="O4" s="67"/>
    </row>
    <row r="5" spans="1:21">
      <c r="A5" s="31" t="s">
        <v>188</v>
      </c>
      <c r="B5" s="19"/>
      <c r="C5" s="19"/>
      <c r="D5" s="19"/>
      <c r="E5" s="19"/>
      <c r="F5" s="19"/>
      <c r="G5" s="19"/>
      <c r="H5" s="19"/>
      <c r="I5" s="19"/>
      <c r="J5" s="19"/>
      <c r="K5" s="68"/>
      <c r="L5" s="68"/>
      <c r="M5" s="61"/>
      <c r="N5" s="61"/>
      <c r="O5" s="67"/>
      <c r="P5" s="19"/>
      <c r="Q5" s="19"/>
      <c r="R5" s="19"/>
      <c r="S5" s="19"/>
      <c r="T5" s="19"/>
      <c r="U5" s="19"/>
    </row>
    <row r="6" spans="1:21">
      <c r="A6" s="35" t="s">
        <v>189</v>
      </c>
      <c r="K6" s="68"/>
      <c r="L6" s="70"/>
      <c r="M6" s="3"/>
      <c r="N6"/>
    </row>
    <row r="7" spans="1:21">
      <c r="A7" s="35" t="s">
        <v>190</v>
      </c>
      <c r="K7" s="68"/>
      <c r="L7" s="70"/>
      <c r="M7" s="3"/>
      <c r="N7"/>
    </row>
    <row r="8" spans="1:21">
      <c r="A8" s="21" t="s">
        <v>191</v>
      </c>
      <c r="K8" s="68"/>
      <c r="L8" s="68"/>
      <c r="M8" s="61"/>
      <c r="N8" s="61"/>
      <c r="O8" s="67"/>
    </row>
    <row r="9" spans="1:21" ht="15" thickBot="1">
      <c r="A9" s="42" t="s">
        <v>192</v>
      </c>
      <c r="B9" s="24"/>
      <c r="C9" s="24"/>
      <c r="D9" s="24"/>
      <c r="E9" s="24"/>
      <c r="F9" s="24"/>
      <c r="G9" s="24"/>
      <c r="H9" s="24"/>
      <c r="I9" s="24"/>
      <c r="J9" s="24"/>
      <c r="K9" s="68"/>
      <c r="L9" s="71"/>
      <c r="M9" s="71"/>
      <c r="N9" s="61"/>
      <c r="O9" s="67"/>
      <c r="P9" s="24"/>
      <c r="Q9" s="24"/>
      <c r="R9" s="24"/>
      <c r="S9" s="24"/>
      <c r="T9" s="24"/>
      <c r="U9" s="24"/>
    </row>
    <row r="10" spans="1:21">
      <c r="A10" s="4"/>
      <c r="K10" s="68"/>
      <c r="L10" s="68"/>
      <c r="M10" s="61"/>
      <c r="N10" s="61"/>
      <c r="O10" s="67"/>
    </row>
    <row r="11" spans="1:21">
      <c r="A11" s="4" t="s">
        <v>141</v>
      </c>
      <c r="K11" s="68"/>
      <c r="L11" s="3"/>
      <c r="M11" s="3"/>
      <c r="N11"/>
    </row>
    <row r="12" spans="1:21">
      <c r="A12" s="4" t="s">
        <v>193</v>
      </c>
      <c r="K12" s="68"/>
      <c r="L12"/>
      <c r="M12"/>
      <c r="N12"/>
    </row>
    <row r="13" spans="1:21">
      <c r="A13" s="4" t="s">
        <v>194</v>
      </c>
      <c r="K13" s="68"/>
      <c r="N13" s="61"/>
      <c r="O13" s="67"/>
    </row>
    <row r="14" spans="1:21">
      <c r="A14" s="4" t="s">
        <v>195</v>
      </c>
      <c r="K14" s="70"/>
      <c r="L14" s="3"/>
      <c r="M14"/>
      <c r="N14" s="61"/>
      <c r="O14" s="67"/>
    </row>
    <row r="15" spans="1:21">
      <c r="A15" s="4" t="s">
        <v>196</v>
      </c>
      <c r="K15" s="73"/>
      <c r="L15"/>
      <c r="M15"/>
      <c r="N15" s="61"/>
      <c r="O15" s="67"/>
    </row>
    <row r="16" spans="1:21">
      <c r="A16" s="4" t="s">
        <v>197</v>
      </c>
      <c r="K16" s="73"/>
      <c r="L16"/>
      <c r="M16" s="3"/>
      <c r="N16" s="61"/>
      <c r="O16" s="67"/>
    </row>
    <row r="17" spans="1:15">
      <c r="A17" s="4" t="s">
        <v>198</v>
      </c>
      <c r="K17" s="73"/>
      <c r="L17"/>
      <c r="M17"/>
      <c r="N17" s="61"/>
      <c r="O17" s="67"/>
    </row>
    <row r="18" spans="1:15">
      <c r="A18" s="4" t="s">
        <v>199</v>
      </c>
      <c r="K18" s="73"/>
      <c r="L18" s="68"/>
      <c r="M18" s="61"/>
      <c r="N18" s="61"/>
      <c r="O18" s="67"/>
    </row>
    <row r="19" spans="1:15" ht="15" thickBot="1">
      <c r="A19" s="4"/>
      <c r="K19" s="73"/>
      <c r="L19" s="72"/>
      <c r="M19" s="72"/>
      <c r="N19" s="61"/>
      <c r="O19" s="67"/>
    </row>
    <row r="20" spans="1:15" ht="15" thickBot="1">
      <c r="A20" t="s">
        <v>136</v>
      </c>
      <c r="K20" s="76"/>
      <c r="L20" s="62"/>
      <c r="M20" s="63"/>
      <c r="N20" s="61"/>
      <c r="O20" s="67"/>
    </row>
    <row r="21" spans="1:15">
      <c r="A21" t="s">
        <v>200</v>
      </c>
      <c r="K21" s="75"/>
      <c r="L21" s="68"/>
      <c r="M21" s="61"/>
      <c r="N21" s="61"/>
      <c r="O21" s="67"/>
    </row>
    <row r="22" spans="1:15">
      <c r="A22" t="s">
        <v>201</v>
      </c>
      <c r="L22" s="70"/>
      <c r="M22" s="70"/>
      <c r="N22" s="61"/>
      <c r="O22" s="67"/>
    </row>
    <row r="23" spans="1:15">
      <c r="A23" t="s">
        <v>202</v>
      </c>
      <c r="L23" s="70"/>
      <c r="M23" s="70"/>
      <c r="N23" s="61"/>
      <c r="O23" s="67"/>
    </row>
    <row r="24" spans="1:15">
      <c r="A24" t="s">
        <v>203</v>
      </c>
      <c r="L24" s="70"/>
      <c r="M24" s="70"/>
      <c r="N24" s="61"/>
      <c r="O24" s="67"/>
    </row>
    <row r="25" spans="1:15">
      <c r="A25" t="s">
        <v>204</v>
      </c>
      <c r="L25" s="70"/>
      <c r="M25" s="68"/>
      <c r="N25" s="61"/>
      <c r="O25" s="67"/>
    </row>
    <row r="26" spans="1:15">
      <c r="A26" t="s">
        <v>205</v>
      </c>
      <c r="L26" s="68"/>
      <c r="M26" s="61"/>
      <c r="N26" s="61"/>
      <c r="O26" s="67"/>
    </row>
    <row r="27" spans="1:15">
      <c r="A27" t="s">
        <v>206</v>
      </c>
      <c r="K27" s="75"/>
      <c r="L27" s="70"/>
      <c r="M27" s="70"/>
      <c r="N27" s="61"/>
      <c r="O27" s="67"/>
    </row>
    <row r="28" spans="1:15">
      <c r="K28" s="51"/>
      <c r="L28" s="68"/>
      <c r="M28" s="68"/>
      <c r="N28" s="61"/>
      <c r="O28" s="67"/>
    </row>
    <row r="29" spans="1:15">
      <c r="A29" t="s">
        <v>142</v>
      </c>
      <c r="K29" s="71"/>
      <c r="L29" s="73"/>
      <c r="M29" s="68"/>
      <c r="N29" s="61"/>
      <c r="O29" s="67"/>
    </row>
    <row r="30" spans="1:15">
      <c r="A30" t="s">
        <v>207</v>
      </c>
      <c r="K30" s="51"/>
      <c r="L30" s="71"/>
      <c r="M30" s="61"/>
      <c r="N30" s="61"/>
      <c r="O30" s="67"/>
    </row>
    <row r="31" spans="1:15">
      <c r="A31" t="s">
        <v>208</v>
      </c>
      <c r="K31" s="71"/>
      <c r="L31" s="68"/>
      <c r="M31" s="73"/>
      <c r="N31" s="61"/>
      <c r="O31" s="67"/>
    </row>
    <row r="32" spans="1:15">
      <c r="A32" t="s">
        <v>209</v>
      </c>
      <c r="K32" s="51"/>
      <c r="L32" s="71"/>
      <c r="M32" s="72"/>
      <c r="N32" s="61"/>
      <c r="O32" s="67"/>
    </row>
    <row r="33" spans="1:15">
      <c r="K33" s="51"/>
      <c r="L33" s="71"/>
      <c r="M33" s="71"/>
      <c r="N33" s="61"/>
      <c r="O33" s="67"/>
    </row>
    <row r="34" spans="1:15">
      <c r="A34" t="s">
        <v>143</v>
      </c>
      <c r="K34" s="51"/>
      <c r="L34" s="71"/>
      <c r="N34" s="60"/>
      <c r="O34" s="67"/>
    </row>
    <row r="35" spans="1:15">
      <c r="A35" t="s">
        <v>135</v>
      </c>
      <c r="K35" s="51"/>
      <c r="L35" s="71"/>
      <c r="M35" s="61"/>
      <c r="N35" s="60"/>
      <c r="O35" s="67"/>
    </row>
    <row r="36" spans="1:15">
      <c r="A36" t="s">
        <v>210</v>
      </c>
      <c r="K36" s="51"/>
      <c r="L36" s="66"/>
      <c r="M36" s="71"/>
      <c r="N36" s="61"/>
      <c r="O36" s="67"/>
    </row>
    <row r="37" spans="1:15" ht="15" thickBot="1">
      <c r="A37" t="s">
        <v>211</v>
      </c>
      <c r="K37" s="51"/>
      <c r="L37" s="44"/>
      <c r="M37" s="71"/>
      <c r="N37" s="69"/>
      <c r="O37" s="25"/>
    </row>
    <row r="38" spans="1:15">
      <c r="A38" t="s">
        <v>212</v>
      </c>
      <c r="K38" s="51"/>
      <c r="L38" s="4"/>
    </row>
    <row r="39" spans="1:15">
      <c r="K39" s="51"/>
      <c r="L39" s="4"/>
    </row>
    <row r="40" spans="1:15">
      <c r="A40" t="s">
        <v>144</v>
      </c>
      <c r="K40" s="51"/>
    </row>
    <row r="41" spans="1:15">
      <c r="A41" t="s">
        <v>137</v>
      </c>
      <c r="K41" s="51"/>
    </row>
    <row r="42" spans="1:15">
      <c r="A42" t="s">
        <v>213</v>
      </c>
    </row>
    <row r="43" spans="1:15">
      <c r="A43" t="s">
        <v>214</v>
      </c>
    </row>
    <row r="44" spans="1:15">
      <c r="A44" t="s">
        <v>215</v>
      </c>
    </row>
    <row r="45" spans="1:15">
      <c r="A45" t="s">
        <v>216</v>
      </c>
    </row>
    <row r="47" spans="1:15">
      <c r="A47" t="s">
        <v>145</v>
      </c>
    </row>
    <row r="48" spans="1:15">
      <c r="A48" t="s">
        <v>135</v>
      </c>
    </row>
    <row r="49" spans="1:1">
      <c r="A49" t="s">
        <v>217</v>
      </c>
    </row>
    <row r="50" spans="1:1">
      <c r="A50" t="s">
        <v>218</v>
      </c>
    </row>
    <row r="51" spans="1:1">
      <c r="A51" t="s">
        <v>219</v>
      </c>
    </row>
    <row r="53" spans="1:1">
      <c r="A53" t="s">
        <v>146</v>
      </c>
    </row>
    <row r="54" spans="1:1">
      <c r="A54" t="s">
        <v>220</v>
      </c>
    </row>
    <row r="55" spans="1:1">
      <c r="A55" t="s">
        <v>221</v>
      </c>
    </row>
    <row r="56" spans="1:1">
      <c r="A56" t="s">
        <v>222</v>
      </c>
    </row>
    <row r="58" spans="1:1">
      <c r="A58" t="s">
        <v>147</v>
      </c>
    </row>
    <row r="59" spans="1:1">
      <c r="A59" t="s">
        <v>138</v>
      </c>
    </row>
    <row r="60" spans="1:1">
      <c r="A60" t="s">
        <v>139</v>
      </c>
    </row>
    <row r="61" spans="1:1">
      <c r="A61" t="s">
        <v>140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46DB-4BC4-4837-86F6-698F590C512A}">
  <dimension ref="A1:M161"/>
  <sheetViews>
    <sheetView workbookViewId="0">
      <selection sqref="A1:A1048576"/>
    </sheetView>
  </sheetViews>
  <sheetFormatPr defaultRowHeight="14.4"/>
  <cols>
    <col min="3" max="3" width="4" bestFit="1" customWidth="1"/>
    <col min="4" max="5" width="3" bestFit="1" customWidth="1"/>
    <col min="6" max="6" width="2" bestFit="1" customWidth="1"/>
    <col min="7" max="7" width="3" bestFit="1" customWidth="1"/>
    <col min="9" max="9" width="4.5546875" bestFit="1" customWidth="1"/>
    <col min="10" max="10" width="3" bestFit="1" customWidth="1"/>
    <col min="11" max="11" width="2" bestFit="1" customWidth="1"/>
    <col min="12" max="13" width="3" bestFit="1" customWidth="1"/>
  </cols>
  <sheetData>
    <row r="1" spans="1:13" ht="15" thickBot="1">
      <c r="A1" s="14">
        <v>9</v>
      </c>
    </row>
    <row r="2" spans="1:13" ht="15" thickBot="1">
      <c r="A2" s="14">
        <v>5</v>
      </c>
    </row>
    <row r="3" spans="1:13" ht="15" thickBot="1">
      <c r="A3" s="14">
        <v>12</v>
      </c>
    </row>
    <row r="4" spans="1:13" ht="15" thickBot="1">
      <c r="A4" s="14">
        <v>1</v>
      </c>
    </row>
    <row r="5" spans="1:13" ht="15" thickBot="1">
      <c r="A5" s="14">
        <v>6</v>
      </c>
      <c r="C5" s="3" t="s">
        <v>0</v>
      </c>
      <c r="I5" s="3" t="s">
        <v>1</v>
      </c>
    </row>
    <row r="6" spans="1:13" ht="15" thickBot="1">
      <c r="A6" s="14">
        <v>9</v>
      </c>
      <c r="C6">
        <v>1</v>
      </c>
      <c r="D6">
        <v>3</v>
      </c>
      <c r="E6">
        <v>5</v>
      </c>
      <c r="F6">
        <v>7</v>
      </c>
      <c r="G6">
        <v>9</v>
      </c>
      <c r="I6">
        <v>2</v>
      </c>
      <c r="J6">
        <v>4</v>
      </c>
      <c r="K6">
        <v>6</v>
      </c>
      <c r="L6">
        <v>8</v>
      </c>
      <c r="M6">
        <v>10</v>
      </c>
    </row>
    <row r="7" spans="1:13" ht="15" thickBot="1">
      <c r="A7" s="14">
        <v>5</v>
      </c>
      <c r="C7">
        <f>COUNTIF($A:$A,1)</f>
        <v>5</v>
      </c>
      <c r="D7">
        <f>COUNTIF($A:$A,3)</f>
        <v>14</v>
      </c>
      <c r="E7">
        <f>COUNTIF($A:$A,5)</f>
        <v>14</v>
      </c>
      <c r="F7">
        <f>COUNTIF($A:$A,7)</f>
        <v>8</v>
      </c>
      <c r="G7">
        <f>COUNTIF($A:$A,9)</f>
        <v>14</v>
      </c>
      <c r="I7">
        <f>COUNTIF($A:$A,2)</f>
        <v>13</v>
      </c>
      <c r="J7">
        <f>COUNTIF($A:$A,4)</f>
        <v>9</v>
      </c>
      <c r="K7">
        <f>COUNTIF($A:$A,6)</f>
        <v>9</v>
      </c>
      <c r="L7">
        <f>COUNTIF($A:$A,8)</f>
        <v>13</v>
      </c>
      <c r="M7">
        <f>COUNTIF($A:$A,10)</f>
        <v>17</v>
      </c>
    </row>
    <row r="8" spans="1:13" ht="15" thickBot="1">
      <c r="A8" s="14">
        <v>10</v>
      </c>
      <c r="C8">
        <v>11</v>
      </c>
      <c r="D8">
        <v>13</v>
      </c>
      <c r="I8">
        <v>12</v>
      </c>
      <c r="J8">
        <v>14</v>
      </c>
    </row>
    <row r="9" spans="1:13" ht="15" thickBot="1">
      <c r="A9" s="14">
        <v>2</v>
      </c>
      <c r="C9">
        <f>COUNTIF($A:$A,11)</f>
        <v>7</v>
      </c>
      <c r="D9">
        <f>COUNTIF($A:$A,13)</f>
        <v>12</v>
      </c>
      <c r="I9">
        <f>COUNTIF($A:$A,12)</f>
        <v>12</v>
      </c>
      <c r="J9">
        <f>COUNTIF($A:$A,14)</f>
        <v>14</v>
      </c>
    </row>
    <row r="10" spans="1:13" ht="15" thickBot="1">
      <c r="A10" s="14">
        <v>11</v>
      </c>
    </row>
    <row r="11" spans="1:13" ht="15" thickBot="1">
      <c r="A11" s="14">
        <v>10</v>
      </c>
    </row>
    <row r="12" spans="1:13" ht="15" thickBot="1">
      <c r="A12" s="14">
        <v>14</v>
      </c>
    </row>
    <row r="13" spans="1:13" ht="15" thickBot="1">
      <c r="A13" s="14">
        <v>14</v>
      </c>
    </row>
    <row r="14" spans="1:13" ht="15" thickBot="1">
      <c r="A14" s="14">
        <v>13</v>
      </c>
    </row>
    <row r="15" spans="1:13" ht="15" thickBot="1">
      <c r="A15" s="14">
        <v>6</v>
      </c>
    </row>
    <row r="16" spans="1:13" ht="15" thickBot="1">
      <c r="A16" s="14">
        <v>13</v>
      </c>
    </row>
    <row r="17" spans="1:1" ht="15" thickBot="1">
      <c r="A17" s="14">
        <v>8</v>
      </c>
    </row>
    <row r="18" spans="1:1" ht="15" thickBot="1">
      <c r="A18" s="14">
        <v>6</v>
      </c>
    </row>
    <row r="19" spans="1:1" ht="15" thickBot="1">
      <c r="A19" s="14">
        <v>12</v>
      </c>
    </row>
    <row r="20" spans="1:1" ht="15" thickBot="1">
      <c r="A20" s="14">
        <v>13</v>
      </c>
    </row>
    <row r="21" spans="1:1" ht="15" thickBot="1">
      <c r="A21" s="14">
        <v>13</v>
      </c>
    </row>
    <row r="22" spans="1:1" ht="15" thickBot="1">
      <c r="A22" s="14">
        <v>4</v>
      </c>
    </row>
    <row r="23" spans="1:1" ht="15" thickBot="1">
      <c r="A23" s="14">
        <v>9</v>
      </c>
    </row>
    <row r="24" spans="1:1" ht="15" thickBot="1">
      <c r="A24" s="14">
        <v>5</v>
      </c>
    </row>
    <row r="25" spans="1:1" ht="15" thickBot="1">
      <c r="A25" s="14">
        <v>13</v>
      </c>
    </row>
    <row r="26" spans="1:1" ht="15" thickBot="1">
      <c r="A26" s="14">
        <v>13</v>
      </c>
    </row>
    <row r="27" spans="1:1" ht="15" thickBot="1">
      <c r="A27" s="14">
        <v>8</v>
      </c>
    </row>
    <row r="28" spans="1:1" ht="15" thickBot="1">
      <c r="A28" s="14">
        <v>13</v>
      </c>
    </row>
    <row r="29" spans="1:1" ht="15" thickBot="1">
      <c r="A29" s="14">
        <v>3</v>
      </c>
    </row>
    <row r="30" spans="1:1" ht="15" thickBot="1">
      <c r="A30" s="14">
        <v>14</v>
      </c>
    </row>
    <row r="31" spans="1:1" ht="15" thickBot="1">
      <c r="A31" s="14">
        <v>2</v>
      </c>
    </row>
    <row r="32" spans="1:1" ht="15" thickBot="1">
      <c r="A32" s="14">
        <v>12</v>
      </c>
    </row>
    <row r="33" spans="1:1" ht="15" thickBot="1">
      <c r="A33" s="14">
        <v>9</v>
      </c>
    </row>
    <row r="34" spans="1:1" ht="15" thickBot="1">
      <c r="A34" s="14">
        <v>13</v>
      </c>
    </row>
    <row r="35" spans="1:1" ht="15" thickBot="1">
      <c r="A35" s="14">
        <v>14</v>
      </c>
    </row>
    <row r="36" spans="1:1" ht="15" thickBot="1">
      <c r="A36" s="14">
        <v>14</v>
      </c>
    </row>
    <row r="37" spans="1:1" ht="15" thickBot="1">
      <c r="A37" s="14">
        <v>10</v>
      </c>
    </row>
    <row r="38" spans="1:1" ht="15" thickBot="1">
      <c r="A38" s="14">
        <v>11</v>
      </c>
    </row>
    <row r="39" spans="1:1" ht="15" thickBot="1">
      <c r="A39" s="14">
        <v>10</v>
      </c>
    </row>
    <row r="40" spans="1:1" ht="15" thickBot="1">
      <c r="A40" s="14">
        <v>14</v>
      </c>
    </row>
    <row r="41" spans="1:1" ht="15" thickBot="1">
      <c r="A41" s="14">
        <v>10</v>
      </c>
    </row>
    <row r="42" spans="1:1" ht="15" thickBot="1">
      <c r="A42" s="14">
        <v>12</v>
      </c>
    </row>
    <row r="43" spans="1:1" ht="15" thickBot="1">
      <c r="A43" s="14">
        <v>12</v>
      </c>
    </row>
    <row r="44" spans="1:1" ht="15" thickBot="1">
      <c r="A44" s="14">
        <v>13</v>
      </c>
    </row>
    <row r="45" spans="1:1" ht="15" thickBot="1">
      <c r="A45" s="14">
        <v>1</v>
      </c>
    </row>
    <row r="46" spans="1:1" ht="15" thickBot="1">
      <c r="A46" s="14">
        <v>7</v>
      </c>
    </row>
    <row r="47" spans="1:1" ht="15" thickBot="1">
      <c r="A47" s="14">
        <v>3</v>
      </c>
    </row>
    <row r="48" spans="1:1" ht="15" thickBot="1">
      <c r="A48" s="14">
        <v>10</v>
      </c>
    </row>
    <row r="49" spans="1:1" ht="15" thickBot="1">
      <c r="A49" s="14">
        <v>9</v>
      </c>
    </row>
    <row r="50" spans="1:1" ht="15" thickBot="1">
      <c r="A50" s="14">
        <v>6</v>
      </c>
    </row>
    <row r="51" spans="1:1" ht="15" thickBot="1">
      <c r="A51" s="14">
        <v>12</v>
      </c>
    </row>
    <row r="52" spans="1:1" ht="15" thickBot="1">
      <c r="A52" s="14">
        <v>11</v>
      </c>
    </row>
    <row r="53" spans="1:1" ht="15" thickBot="1">
      <c r="A53" s="14">
        <v>11</v>
      </c>
    </row>
    <row r="54" spans="1:1" ht="15" thickBot="1">
      <c r="A54" s="14">
        <v>6</v>
      </c>
    </row>
    <row r="55" spans="1:1" ht="15" thickBot="1">
      <c r="A55" s="14">
        <v>5</v>
      </c>
    </row>
    <row r="56" spans="1:1" ht="15" thickBot="1">
      <c r="A56" s="14">
        <v>9</v>
      </c>
    </row>
    <row r="57" spans="1:1" ht="15" thickBot="1">
      <c r="A57" s="14">
        <v>14</v>
      </c>
    </row>
    <row r="58" spans="1:1" ht="15" thickBot="1">
      <c r="A58" s="14">
        <v>2</v>
      </c>
    </row>
    <row r="59" spans="1:1" ht="15" thickBot="1">
      <c r="A59" s="14">
        <v>10</v>
      </c>
    </row>
    <row r="60" spans="1:1" ht="15" thickBot="1">
      <c r="A60" s="14">
        <v>13</v>
      </c>
    </row>
    <row r="61" spans="1:1" ht="15" thickBot="1">
      <c r="A61" s="14">
        <v>5</v>
      </c>
    </row>
    <row r="62" spans="1:1" ht="15" thickBot="1">
      <c r="A62" s="14">
        <v>4</v>
      </c>
    </row>
    <row r="63" spans="1:1" ht="15" thickBot="1">
      <c r="A63" s="14">
        <v>5</v>
      </c>
    </row>
    <row r="64" spans="1:1" ht="15" thickBot="1">
      <c r="A64" s="14">
        <v>10</v>
      </c>
    </row>
    <row r="65" spans="1:1" ht="15" thickBot="1">
      <c r="A65" s="14">
        <v>8</v>
      </c>
    </row>
    <row r="66" spans="1:1" ht="15" thickBot="1">
      <c r="A66" s="14">
        <v>4</v>
      </c>
    </row>
    <row r="67" spans="1:1" ht="15" thickBot="1">
      <c r="A67" s="14">
        <v>8</v>
      </c>
    </row>
    <row r="68" spans="1:1" ht="15" thickBot="1">
      <c r="A68" s="14">
        <v>8</v>
      </c>
    </row>
    <row r="69" spans="1:1" ht="15" thickBot="1">
      <c r="A69" s="14">
        <v>5</v>
      </c>
    </row>
    <row r="70" spans="1:1" ht="15" thickBot="1">
      <c r="A70" s="14">
        <v>8</v>
      </c>
    </row>
    <row r="71" spans="1:1" ht="15" thickBot="1">
      <c r="A71" s="14">
        <v>10</v>
      </c>
    </row>
    <row r="72" spans="1:1" ht="15" thickBot="1">
      <c r="A72" s="14">
        <v>11</v>
      </c>
    </row>
    <row r="73" spans="1:1" ht="15" thickBot="1">
      <c r="A73" s="14">
        <v>9</v>
      </c>
    </row>
    <row r="74" spans="1:1" ht="15" thickBot="1">
      <c r="A74" s="14">
        <v>7</v>
      </c>
    </row>
    <row r="75" spans="1:1" ht="15" thickBot="1">
      <c r="A75" s="14">
        <v>8</v>
      </c>
    </row>
    <row r="76" spans="1:1" ht="15" thickBot="1">
      <c r="A76" s="14">
        <v>5</v>
      </c>
    </row>
    <row r="77" spans="1:1" ht="15" thickBot="1">
      <c r="A77" s="14">
        <v>4</v>
      </c>
    </row>
    <row r="78" spans="1:1" ht="15" thickBot="1">
      <c r="A78" s="14">
        <v>9</v>
      </c>
    </row>
    <row r="79" spans="1:1" ht="15" thickBot="1">
      <c r="A79" s="14">
        <v>12</v>
      </c>
    </row>
    <row r="80" spans="1:1" ht="15" thickBot="1">
      <c r="A80" s="14">
        <v>4</v>
      </c>
    </row>
    <row r="81" spans="1:1" ht="15" thickBot="1">
      <c r="A81" s="14">
        <v>9</v>
      </c>
    </row>
    <row r="82" spans="1:1" ht="15" thickBot="1">
      <c r="A82" s="14">
        <v>12</v>
      </c>
    </row>
    <row r="83" spans="1:1" ht="15" thickBot="1">
      <c r="A83" s="14">
        <v>9</v>
      </c>
    </row>
    <row r="84" spans="1:1" ht="15" thickBot="1">
      <c r="A84" s="14">
        <v>7</v>
      </c>
    </row>
    <row r="85" spans="1:1" ht="15" thickBot="1">
      <c r="A85" s="14">
        <v>14</v>
      </c>
    </row>
    <row r="86" spans="1:1" ht="15" thickBot="1">
      <c r="A86" s="14">
        <v>3</v>
      </c>
    </row>
    <row r="87" spans="1:1" ht="15" thickBot="1">
      <c r="A87" s="14">
        <v>4</v>
      </c>
    </row>
    <row r="88" spans="1:1" ht="15" thickBot="1">
      <c r="A88" s="14">
        <v>3</v>
      </c>
    </row>
    <row r="89" spans="1:1" ht="15" thickBot="1">
      <c r="A89" s="14">
        <v>8</v>
      </c>
    </row>
    <row r="90" spans="1:1" ht="15" thickBot="1">
      <c r="A90" s="14">
        <v>10</v>
      </c>
    </row>
    <row r="91" spans="1:1" ht="15" thickBot="1">
      <c r="A91" s="14">
        <v>3</v>
      </c>
    </row>
    <row r="92" spans="1:1" ht="15" thickBot="1">
      <c r="A92" s="14">
        <v>13</v>
      </c>
    </row>
    <row r="93" spans="1:1" ht="15" thickBot="1">
      <c r="A93" s="14">
        <v>9</v>
      </c>
    </row>
    <row r="94" spans="1:1" ht="15" thickBot="1">
      <c r="A94" s="14">
        <v>5</v>
      </c>
    </row>
    <row r="95" spans="1:1" ht="15" thickBot="1">
      <c r="A95" s="14">
        <v>1</v>
      </c>
    </row>
    <row r="96" spans="1:1" ht="15" thickBot="1">
      <c r="A96" s="14">
        <v>3</v>
      </c>
    </row>
    <row r="97" spans="1:1" ht="15" thickBot="1">
      <c r="A97" s="14">
        <v>2</v>
      </c>
    </row>
    <row r="98" spans="1:1" ht="15" thickBot="1">
      <c r="A98" s="14">
        <v>10</v>
      </c>
    </row>
    <row r="99" spans="1:1" ht="15" thickBot="1">
      <c r="A99" s="14">
        <v>3</v>
      </c>
    </row>
    <row r="100" spans="1:1" ht="15" thickBot="1">
      <c r="A100" s="14">
        <v>14</v>
      </c>
    </row>
    <row r="101" spans="1:1" ht="15" thickBot="1">
      <c r="A101" s="14">
        <v>8</v>
      </c>
    </row>
    <row r="102" spans="1:1" ht="15" thickBot="1">
      <c r="A102" s="14">
        <v>10</v>
      </c>
    </row>
    <row r="103" spans="1:1" ht="15" thickBot="1">
      <c r="A103" s="14">
        <v>14</v>
      </c>
    </row>
    <row r="104" spans="1:1" ht="15" thickBot="1">
      <c r="A104" s="14">
        <v>7</v>
      </c>
    </row>
    <row r="105" spans="1:1" ht="15" thickBot="1">
      <c r="A105" s="14">
        <v>8</v>
      </c>
    </row>
    <row r="106" spans="1:1" ht="15" thickBot="1">
      <c r="A106" s="14">
        <v>2</v>
      </c>
    </row>
    <row r="107" spans="1:1" ht="15" thickBot="1">
      <c r="A107" s="14">
        <v>7</v>
      </c>
    </row>
    <row r="108" spans="1:1" ht="15" thickBot="1">
      <c r="A108" s="14">
        <v>2</v>
      </c>
    </row>
    <row r="109" spans="1:1" ht="15" thickBot="1">
      <c r="A109" s="14">
        <v>3</v>
      </c>
    </row>
    <row r="110" spans="1:1" ht="15" thickBot="1">
      <c r="A110" s="14">
        <v>5</v>
      </c>
    </row>
    <row r="111" spans="1:1" ht="15" thickBot="1">
      <c r="A111" s="14">
        <v>9</v>
      </c>
    </row>
    <row r="112" spans="1:1" ht="15" thickBot="1">
      <c r="A112" s="14">
        <v>14</v>
      </c>
    </row>
    <row r="113" spans="1:1" ht="15" thickBot="1">
      <c r="A113" s="14">
        <v>7</v>
      </c>
    </row>
    <row r="114" spans="1:1" ht="15" thickBot="1">
      <c r="A114" s="14">
        <v>6</v>
      </c>
    </row>
    <row r="115" spans="1:1" ht="15" thickBot="1">
      <c r="A115" s="14">
        <v>14</v>
      </c>
    </row>
    <row r="116" spans="1:1" ht="15" thickBot="1">
      <c r="A116" s="14">
        <v>2</v>
      </c>
    </row>
    <row r="117" spans="1:1" ht="15" thickBot="1">
      <c r="A117" s="14">
        <v>2</v>
      </c>
    </row>
    <row r="118" spans="1:1" ht="15" thickBot="1">
      <c r="A118" s="14">
        <v>6</v>
      </c>
    </row>
    <row r="119" spans="1:1" ht="15" thickBot="1">
      <c r="A119" s="14">
        <v>2</v>
      </c>
    </row>
    <row r="120" spans="1:1" ht="15" thickBot="1">
      <c r="A120" s="14">
        <v>12</v>
      </c>
    </row>
    <row r="121" spans="1:1" ht="15" thickBot="1">
      <c r="A121" s="14">
        <v>7</v>
      </c>
    </row>
    <row r="122" spans="1:1" ht="15" thickBot="1">
      <c r="A122" s="14">
        <v>9</v>
      </c>
    </row>
    <row r="123" spans="1:1" ht="15" thickBot="1">
      <c r="A123" s="14">
        <v>2</v>
      </c>
    </row>
    <row r="124" spans="1:1" ht="15" thickBot="1">
      <c r="A124" s="14">
        <v>4</v>
      </c>
    </row>
    <row r="125" spans="1:1" ht="15" thickBot="1">
      <c r="A125" s="14">
        <v>12</v>
      </c>
    </row>
    <row r="126" spans="1:1" ht="15" thickBot="1">
      <c r="A126" s="14">
        <v>3</v>
      </c>
    </row>
    <row r="127" spans="1:1" ht="15" thickBot="1">
      <c r="A127" s="14">
        <v>3</v>
      </c>
    </row>
    <row r="128" spans="1:1" ht="15" thickBot="1">
      <c r="A128" s="14">
        <v>1</v>
      </c>
    </row>
    <row r="129" spans="1:1" ht="15" thickBot="1">
      <c r="A129" s="14">
        <v>8</v>
      </c>
    </row>
    <row r="130" spans="1:1" ht="15" thickBot="1">
      <c r="A130" s="14">
        <v>10</v>
      </c>
    </row>
    <row r="131" spans="1:1" ht="15" thickBot="1">
      <c r="A131" s="14">
        <v>11</v>
      </c>
    </row>
    <row r="132" spans="1:1" ht="15" thickBot="1">
      <c r="A132" s="14">
        <v>8</v>
      </c>
    </row>
    <row r="133" spans="1:1" ht="15" thickBot="1">
      <c r="A133" s="14">
        <v>2</v>
      </c>
    </row>
    <row r="134" spans="1:1" ht="15" thickBot="1">
      <c r="A134" s="14">
        <v>5</v>
      </c>
    </row>
    <row r="135" spans="1:1" ht="15" thickBot="1">
      <c r="A135" s="14">
        <v>13</v>
      </c>
    </row>
    <row r="136" spans="1:1" ht="15" thickBot="1">
      <c r="A136" s="14">
        <v>8</v>
      </c>
    </row>
    <row r="137" spans="1:1" ht="15" thickBot="1">
      <c r="A137" s="14">
        <v>1</v>
      </c>
    </row>
    <row r="138" spans="1:1" ht="15" thickBot="1">
      <c r="A138" s="14">
        <v>3</v>
      </c>
    </row>
    <row r="139" spans="1:1" ht="15" thickBot="1">
      <c r="A139" s="14">
        <v>4</v>
      </c>
    </row>
    <row r="140" spans="1:1" ht="15" thickBot="1">
      <c r="A140" s="14">
        <v>10</v>
      </c>
    </row>
    <row r="141" spans="1:1" ht="15" thickBot="1">
      <c r="A141" s="14">
        <v>11</v>
      </c>
    </row>
    <row r="142" spans="1:1" ht="15" thickBot="1">
      <c r="A142" s="14">
        <v>6</v>
      </c>
    </row>
    <row r="143" spans="1:1" ht="15" thickBot="1">
      <c r="A143" s="14">
        <v>14</v>
      </c>
    </row>
    <row r="144" spans="1:1" ht="15" thickBot="1">
      <c r="A144" s="14">
        <v>10</v>
      </c>
    </row>
    <row r="145" spans="1:1" ht="15" thickBot="1">
      <c r="A145" s="14">
        <v>2</v>
      </c>
    </row>
    <row r="146" spans="1:1" ht="15" thickBot="1">
      <c r="A146" s="14">
        <v>12</v>
      </c>
    </row>
    <row r="147" spans="1:1" ht="15" thickBot="1">
      <c r="A147" s="14">
        <v>2</v>
      </c>
    </row>
    <row r="148" spans="1:1" ht="15" thickBot="1">
      <c r="A148" s="14">
        <v>3</v>
      </c>
    </row>
    <row r="149" spans="1:1" ht="15" thickBot="1">
      <c r="A149" s="14">
        <v>3</v>
      </c>
    </row>
    <row r="150" spans="1:1" ht="15" thickBot="1">
      <c r="A150" s="14">
        <v>10</v>
      </c>
    </row>
    <row r="151" spans="1:1" ht="15" thickBot="1">
      <c r="A151" s="14">
        <v>6</v>
      </c>
    </row>
    <row r="152" spans="1:1" ht="15" thickBot="1">
      <c r="A152" s="14">
        <v>12</v>
      </c>
    </row>
    <row r="153" spans="1:1" ht="15" thickBot="1">
      <c r="A153" s="14">
        <v>4</v>
      </c>
    </row>
    <row r="154" spans="1:1" ht="15" thickBot="1">
      <c r="A154" s="14">
        <v>3</v>
      </c>
    </row>
    <row r="155" spans="1:1" ht="15" thickBot="1">
      <c r="A155" s="14">
        <v>9</v>
      </c>
    </row>
    <row r="156" spans="1:1" ht="15" thickBot="1">
      <c r="A156" s="14">
        <v>5</v>
      </c>
    </row>
    <row r="157" spans="1:1" ht="15" thickBot="1">
      <c r="A157" s="14">
        <v>5</v>
      </c>
    </row>
    <row r="158" spans="1:1" ht="15" thickBot="1">
      <c r="A158" s="14">
        <v>5</v>
      </c>
    </row>
    <row r="159" spans="1:1" ht="15" thickBot="1">
      <c r="A159" s="14">
        <v>14</v>
      </c>
    </row>
    <row r="160" spans="1:1" ht="15" thickBot="1">
      <c r="A160" s="14">
        <v>10</v>
      </c>
    </row>
    <row r="161" spans="1:1" ht="15" thickBot="1">
      <c r="A161" s="14">
        <v>7</v>
      </c>
    </row>
  </sheetData>
  <conditionalFormatting sqref="C7:G7 I7:M7 C9:D9 I9:J9">
    <cfRule type="cellIs" dxfId="4" priority="1" operator="lessThanOrEqual">
      <formula>8</formula>
    </cfRule>
    <cfRule type="cellIs" dxfId="3" priority="2" operator="between">
      <formula>9</formula>
      <formula>13</formula>
    </cfRule>
    <cfRule type="cellIs" dxfId="2" priority="3" operator="greaterThanOrEqual">
      <formula>14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C656-FFAF-4718-AC2C-66D7DE192A8E}">
  <dimension ref="A1:E584"/>
  <sheetViews>
    <sheetView topLeftCell="A354" workbookViewId="0">
      <selection sqref="A1:E1048576"/>
    </sheetView>
  </sheetViews>
  <sheetFormatPr defaultRowHeight="14.4"/>
  <cols>
    <col min="1" max="5" width="8.88671875" style="58"/>
  </cols>
  <sheetData>
    <row r="1" spans="1:5" ht="15" thickBot="1">
      <c r="A1" s="55">
        <v>1</v>
      </c>
      <c r="B1" s="55">
        <v>7</v>
      </c>
      <c r="C1" s="55">
        <v>13</v>
      </c>
      <c r="D1" s="55">
        <v>14</v>
      </c>
      <c r="E1" s="55">
        <v>29</v>
      </c>
    </row>
    <row r="2" spans="1:5" ht="15" thickBot="1">
      <c r="A2" s="56">
        <v>7</v>
      </c>
      <c r="B2" s="56">
        <v>26</v>
      </c>
      <c r="C2" s="56">
        <v>30</v>
      </c>
      <c r="D2" s="56">
        <v>32</v>
      </c>
      <c r="E2" s="56">
        <v>33</v>
      </c>
    </row>
    <row r="3" spans="1:5" ht="15" thickBot="1">
      <c r="A3" s="56">
        <v>1</v>
      </c>
      <c r="B3" s="56">
        <v>4</v>
      </c>
      <c r="C3" s="56">
        <v>19</v>
      </c>
      <c r="D3" s="56">
        <v>22</v>
      </c>
      <c r="E3" s="56">
        <v>30</v>
      </c>
    </row>
    <row r="4" spans="1:5" ht="15" thickBot="1">
      <c r="A4" s="56">
        <v>5</v>
      </c>
      <c r="B4" s="56">
        <v>11</v>
      </c>
      <c r="C4" s="56">
        <v>14</v>
      </c>
      <c r="D4" s="56">
        <v>22</v>
      </c>
      <c r="E4" s="56">
        <v>29</v>
      </c>
    </row>
    <row r="5" spans="1:5" ht="15" thickBot="1">
      <c r="A5" s="56">
        <v>4</v>
      </c>
      <c r="B5" s="56">
        <v>17</v>
      </c>
      <c r="C5" s="56">
        <v>21</v>
      </c>
      <c r="D5" s="56">
        <v>22</v>
      </c>
      <c r="E5" s="56">
        <v>32</v>
      </c>
    </row>
    <row r="6" spans="1:5" ht="15" thickBot="1">
      <c r="A6" s="56">
        <v>2</v>
      </c>
      <c r="B6" s="56">
        <v>4</v>
      </c>
      <c r="C6" s="56">
        <v>13</v>
      </c>
      <c r="D6" s="56">
        <v>24</v>
      </c>
      <c r="E6" s="56">
        <v>33</v>
      </c>
    </row>
    <row r="7" spans="1:5" ht="15" thickBot="1">
      <c r="A7" s="56">
        <v>12</v>
      </c>
      <c r="B7" s="56">
        <v>15</v>
      </c>
      <c r="C7" s="56">
        <v>18</v>
      </c>
      <c r="D7" s="56">
        <v>21</v>
      </c>
      <c r="E7" s="56">
        <v>34</v>
      </c>
    </row>
    <row r="8" spans="1:5" ht="15" thickBot="1">
      <c r="A8" s="56">
        <v>7</v>
      </c>
      <c r="B8" s="56">
        <v>13</v>
      </c>
      <c r="C8" s="56">
        <v>19</v>
      </c>
      <c r="D8" s="56">
        <v>21</v>
      </c>
      <c r="E8" s="56">
        <v>25</v>
      </c>
    </row>
    <row r="9" spans="1:5" ht="15" thickBot="1">
      <c r="A9" s="56">
        <v>7</v>
      </c>
      <c r="B9" s="56">
        <v>9</v>
      </c>
      <c r="C9" s="56">
        <v>10</v>
      </c>
      <c r="D9" s="56">
        <v>22</v>
      </c>
      <c r="E9" s="56">
        <v>28</v>
      </c>
    </row>
    <row r="10" spans="1:5" ht="15" thickBot="1">
      <c r="A10" s="56">
        <v>18</v>
      </c>
      <c r="B10" s="56">
        <v>19</v>
      </c>
      <c r="C10" s="56">
        <v>20</v>
      </c>
      <c r="D10" s="56">
        <v>22</v>
      </c>
      <c r="E10" s="56">
        <v>27</v>
      </c>
    </row>
    <row r="11" spans="1:5" ht="15" thickBot="1">
      <c r="A11" s="56">
        <v>18</v>
      </c>
      <c r="B11" s="56">
        <v>20</v>
      </c>
      <c r="C11" s="56">
        <v>26</v>
      </c>
      <c r="D11" s="56">
        <v>27</v>
      </c>
      <c r="E11" s="56">
        <v>34</v>
      </c>
    </row>
    <row r="12" spans="1:5" ht="15" thickBot="1">
      <c r="A12" s="56">
        <v>17</v>
      </c>
      <c r="B12" s="56">
        <v>18</v>
      </c>
      <c r="C12" s="56">
        <v>27</v>
      </c>
      <c r="D12" s="56">
        <v>31</v>
      </c>
      <c r="E12" s="56">
        <v>34</v>
      </c>
    </row>
    <row r="13" spans="1:5" ht="15" thickBot="1">
      <c r="A13" s="56">
        <v>11</v>
      </c>
      <c r="B13" s="56">
        <v>20</v>
      </c>
      <c r="C13" s="56">
        <v>27</v>
      </c>
      <c r="D13" s="56">
        <v>31</v>
      </c>
      <c r="E13" s="56">
        <v>32</v>
      </c>
    </row>
    <row r="14" spans="1:5" ht="15" thickBot="1">
      <c r="A14" s="56">
        <v>5</v>
      </c>
      <c r="B14" s="56">
        <v>7</v>
      </c>
      <c r="C14" s="56">
        <v>11</v>
      </c>
      <c r="D14" s="56">
        <v>15</v>
      </c>
      <c r="E14" s="56">
        <v>21</v>
      </c>
    </row>
    <row r="15" spans="1:5" ht="15" thickBot="1">
      <c r="A15" s="56">
        <v>4</v>
      </c>
      <c r="B15" s="56">
        <v>6</v>
      </c>
      <c r="C15" s="56">
        <v>20</v>
      </c>
      <c r="D15" s="56">
        <v>23</v>
      </c>
      <c r="E15" s="56">
        <v>33</v>
      </c>
    </row>
    <row r="16" spans="1:5" ht="15" thickBot="1">
      <c r="A16" s="56">
        <v>3</v>
      </c>
      <c r="B16" s="56">
        <v>20</v>
      </c>
      <c r="C16" s="56">
        <v>25</v>
      </c>
      <c r="D16" s="56">
        <v>32</v>
      </c>
      <c r="E16" s="56">
        <v>34</v>
      </c>
    </row>
    <row r="17" spans="1:5" ht="15" thickBot="1">
      <c r="A17" s="56">
        <v>2</v>
      </c>
      <c r="B17" s="56">
        <v>9</v>
      </c>
      <c r="C17" s="56">
        <v>19</v>
      </c>
      <c r="D17" s="56">
        <v>26</v>
      </c>
      <c r="E17" s="56">
        <v>29</v>
      </c>
    </row>
    <row r="18" spans="1:5" ht="15" thickBot="1">
      <c r="A18" s="56">
        <v>1</v>
      </c>
      <c r="B18" s="56">
        <v>6</v>
      </c>
      <c r="C18" s="56">
        <v>21</v>
      </c>
      <c r="D18" s="56">
        <v>25</v>
      </c>
      <c r="E18" s="56">
        <v>34</v>
      </c>
    </row>
    <row r="19" spans="1:5" ht="15" thickBot="1">
      <c r="A19" s="56">
        <v>6</v>
      </c>
      <c r="B19" s="56">
        <v>17</v>
      </c>
      <c r="C19" s="56">
        <v>26</v>
      </c>
      <c r="D19" s="56">
        <v>29</v>
      </c>
      <c r="E19" s="56">
        <v>32</v>
      </c>
    </row>
    <row r="20" spans="1:5" ht="15" thickBot="1">
      <c r="A20" s="56">
        <v>1</v>
      </c>
      <c r="B20" s="56">
        <v>16</v>
      </c>
      <c r="C20" s="56">
        <v>24</v>
      </c>
      <c r="D20" s="56">
        <v>31</v>
      </c>
      <c r="E20" s="56">
        <v>34</v>
      </c>
    </row>
    <row r="21" spans="1:5" ht="15" thickBot="1">
      <c r="A21" s="56">
        <v>3</v>
      </c>
      <c r="B21" s="56">
        <v>14</v>
      </c>
      <c r="C21" s="56">
        <v>16</v>
      </c>
      <c r="D21" s="56">
        <v>17</v>
      </c>
      <c r="E21" s="56">
        <v>34</v>
      </c>
    </row>
    <row r="22" spans="1:5" ht="15" thickBot="1">
      <c r="A22" s="56">
        <v>1</v>
      </c>
      <c r="B22" s="56">
        <v>2</v>
      </c>
      <c r="C22" s="56">
        <v>13</v>
      </c>
      <c r="D22" s="56">
        <v>16</v>
      </c>
      <c r="E22" s="56">
        <v>19</v>
      </c>
    </row>
    <row r="23" spans="1:5" ht="15" thickBot="1">
      <c r="A23" s="56">
        <v>2</v>
      </c>
      <c r="B23" s="56">
        <v>6</v>
      </c>
      <c r="C23" s="56">
        <v>11</v>
      </c>
      <c r="D23" s="56">
        <v>19</v>
      </c>
      <c r="E23" s="56">
        <v>24</v>
      </c>
    </row>
    <row r="24" spans="1:5" ht="15" thickBot="1">
      <c r="A24" s="56">
        <v>5</v>
      </c>
      <c r="B24" s="56">
        <v>17</v>
      </c>
      <c r="C24" s="56">
        <v>28</v>
      </c>
      <c r="D24" s="56">
        <v>29</v>
      </c>
      <c r="E24" s="56">
        <v>30</v>
      </c>
    </row>
    <row r="25" spans="1:5" ht="15" thickBot="1">
      <c r="A25" s="56">
        <v>9</v>
      </c>
      <c r="B25" s="56">
        <v>14</v>
      </c>
      <c r="C25" s="56">
        <v>19</v>
      </c>
      <c r="D25" s="56">
        <v>20</v>
      </c>
      <c r="E25" s="56">
        <v>25</v>
      </c>
    </row>
    <row r="26" spans="1:5" ht="15" thickBot="1">
      <c r="A26" s="56">
        <v>7</v>
      </c>
      <c r="B26" s="56">
        <v>10</v>
      </c>
      <c r="C26" s="56">
        <v>12</v>
      </c>
      <c r="D26" s="56">
        <v>13</v>
      </c>
      <c r="E26" s="56">
        <v>22</v>
      </c>
    </row>
    <row r="27" spans="1:5" ht="15" thickBot="1">
      <c r="A27" s="56">
        <v>3</v>
      </c>
      <c r="B27" s="56">
        <v>11</v>
      </c>
      <c r="C27" s="56">
        <v>12</v>
      </c>
      <c r="D27" s="56">
        <v>17</v>
      </c>
      <c r="E27" s="56">
        <v>20</v>
      </c>
    </row>
    <row r="28" spans="1:5" ht="15" thickBot="1">
      <c r="A28" s="56">
        <v>8</v>
      </c>
      <c r="B28" s="56">
        <v>18</v>
      </c>
      <c r="C28" s="56">
        <v>27</v>
      </c>
      <c r="D28" s="56">
        <v>28</v>
      </c>
      <c r="E28" s="56">
        <v>31</v>
      </c>
    </row>
    <row r="29" spans="1:5" ht="15" thickBot="1">
      <c r="A29" s="56">
        <v>2</v>
      </c>
      <c r="B29" s="56">
        <v>9</v>
      </c>
      <c r="C29" s="56">
        <v>15</v>
      </c>
      <c r="D29" s="56">
        <v>18</v>
      </c>
      <c r="E29" s="56">
        <v>29</v>
      </c>
    </row>
    <row r="30" spans="1:5" ht="15" thickBot="1">
      <c r="A30" s="56">
        <v>8</v>
      </c>
      <c r="B30" s="56">
        <v>13</v>
      </c>
      <c r="C30" s="56">
        <v>26</v>
      </c>
      <c r="D30" s="56">
        <v>29</v>
      </c>
      <c r="E30" s="56">
        <v>31</v>
      </c>
    </row>
    <row r="31" spans="1:5" ht="15" thickBot="1">
      <c r="A31" s="56">
        <v>7</v>
      </c>
      <c r="B31" s="56">
        <v>8</v>
      </c>
      <c r="C31" s="56">
        <v>10</v>
      </c>
      <c r="D31" s="56">
        <v>20</v>
      </c>
      <c r="E31" s="56">
        <v>33</v>
      </c>
    </row>
    <row r="32" spans="1:5" ht="15" thickBot="1">
      <c r="A32" s="56">
        <v>6</v>
      </c>
      <c r="B32" s="56">
        <v>11</v>
      </c>
      <c r="C32" s="56">
        <v>14</v>
      </c>
      <c r="D32" s="56">
        <v>24</v>
      </c>
      <c r="E32" s="56">
        <v>27</v>
      </c>
    </row>
    <row r="33" spans="1:5" ht="15" thickBot="1">
      <c r="A33" s="56">
        <v>1</v>
      </c>
      <c r="B33" s="56">
        <v>8</v>
      </c>
      <c r="C33" s="56">
        <v>23</v>
      </c>
      <c r="D33" s="56">
        <v>30</v>
      </c>
      <c r="E33" s="56">
        <v>33</v>
      </c>
    </row>
    <row r="34" spans="1:5" ht="15" thickBot="1">
      <c r="A34" s="56">
        <v>2</v>
      </c>
      <c r="B34" s="56">
        <v>5</v>
      </c>
      <c r="C34" s="56">
        <v>16</v>
      </c>
      <c r="D34" s="56">
        <v>24</v>
      </c>
      <c r="E34" s="56">
        <v>26</v>
      </c>
    </row>
    <row r="35" spans="1:5" ht="15" thickBot="1">
      <c r="A35" s="56">
        <v>1</v>
      </c>
      <c r="B35" s="56">
        <v>9</v>
      </c>
      <c r="C35" s="56">
        <v>14</v>
      </c>
      <c r="D35" s="56">
        <v>25</v>
      </c>
      <c r="E35" s="56">
        <v>31</v>
      </c>
    </row>
    <row r="36" spans="1:5" ht="15" thickBot="1">
      <c r="A36" s="56">
        <v>8</v>
      </c>
      <c r="B36" s="56">
        <v>15</v>
      </c>
      <c r="C36" s="56">
        <v>24</v>
      </c>
      <c r="D36" s="56">
        <v>26</v>
      </c>
      <c r="E36" s="56">
        <v>27</v>
      </c>
    </row>
    <row r="37" spans="1:5" ht="15" thickBot="1">
      <c r="A37" s="56">
        <v>3</v>
      </c>
      <c r="B37" s="56">
        <v>11</v>
      </c>
      <c r="C37" s="56">
        <v>24</v>
      </c>
      <c r="D37" s="56">
        <v>29</v>
      </c>
      <c r="E37" s="56">
        <v>31</v>
      </c>
    </row>
    <row r="38" spans="1:5" ht="15" thickBot="1">
      <c r="A38" s="56">
        <v>6</v>
      </c>
      <c r="B38" s="56">
        <v>15</v>
      </c>
      <c r="C38" s="56">
        <v>19</v>
      </c>
      <c r="D38" s="56">
        <v>21</v>
      </c>
      <c r="E38" s="56">
        <v>23</v>
      </c>
    </row>
    <row r="39" spans="1:5" ht="15" thickBot="1">
      <c r="A39" s="56">
        <v>8</v>
      </c>
      <c r="B39" s="56">
        <v>20</v>
      </c>
      <c r="C39" s="56">
        <v>24</v>
      </c>
      <c r="D39" s="56">
        <v>30</v>
      </c>
      <c r="E39" s="56">
        <v>33</v>
      </c>
    </row>
    <row r="40" spans="1:5" ht="15" thickBot="1">
      <c r="A40" s="56">
        <v>19</v>
      </c>
      <c r="B40" s="56">
        <v>20</v>
      </c>
      <c r="C40" s="56">
        <v>24</v>
      </c>
      <c r="D40" s="56">
        <v>28</v>
      </c>
      <c r="E40" s="56">
        <v>32</v>
      </c>
    </row>
    <row r="41" spans="1:5" ht="15" thickBot="1">
      <c r="A41" s="56">
        <v>4</v>
      </c>
      <c r="B41" s="56">
        <v>12</v>
      </c>
      <c r="C41" s="56">
        <v>16</v>
      </c>
      <c r="D41" s="56">
        <v>28</v>
      </c>
      <c r="E41" s="56">
        <v>29</v>
      </c>
    </row>
    <row r="42" spans="1:5" ht="15" thickBot="1">
      <c r="A42" s="56">
        <v>2</v>
      </c>
      <c r="B42" s="56">
        <v>5</v>
      </c>
      <c r="C42" s="56">
        <v>8</v>
      </c>
      <c r="D42" s="56">
        <v>28</v>
      </c>
      <c r="E42" s="56">
        <v>33</v>
      </c>
    </row>
    <row r="43" spans="1:5" ht="15" thickBot="1">
      <c r="A43" s="56">
        <v>9</v>
      </c>
      <c r="B43" s="56">
        <v>15</v>
      </c>
      <c r="C43" s="56">
        <v>19</v>
      </c>
      <c r="D43" s="56">
        <v>20</v>
      </c>
      <c r="E43" s="56">
        <v>33</v>
      </c>
    </row>
    <row r="44" spans="1:5" ht="15" thickBot="1">
      <c r="A44" s="56">
        <v>2</v>
      </c>
      <c r="B44" s="56">
        <v>4</v>
      </c>
      <c r="C44" s="56">
        <v>12</v>
      </c>
      <c r="D44" s="56">
        <v>13</v>
      </c>
      <c r="E44" s="56">
        <v>20</v>
      </c>
    </row>
    <row r="45" spans="1:5" ht="15" thickBot="1">
      <c r="A45" s="56">
        <v>1</v>
      </c>
      <c r="B45" s="56">
        <v>7</v>
      </c>
      <c r="C45" s="56">
        <v>10</v>
      </c>
      <c r="D45" s="56">
        <v>11</v>
      </c>
      <c r="E45" s="56">
        <v>13</v>
      </c>
    </row>
    <row r="46" spans="1:5" ht="15" thickBot="1">
      <c r="A46" s="56">
        <v>15</v>
      </c>
      <c r="B46" s="56">
        <v>16</v>
      </c>
      <c r="C46" s="56">
        <v>18</v>
      </c>
      <c r="D46" s="56">
        <v>30</v>
      </c>
      <c r="E46" s="56">
        <v>33</v>
      </c>
    </row>
    <row r="47" spans="1:5" ht="15" thickBot="1">
      <c r="A47" s="56">
        <v>8</v>
      </c>
      <c r="B47" s="56">
        <v>9</v>
      </c>
      <c r="C47" s="56">
        <v>22</v>
      </c>
      <c r="D47" s="56">
        <v>26</v>
      </c>
      <c r="E47" s="56">
        <v>29</v>
      </c>
    </row>
    <row r="48" spans="1:5" ht="15" thickBot="1">
      <c r="A48" s="56">
        <v>4</v>
      </c>
      <c r="B48" s="56">
        <v>10</v>
      </c>
      <c r="C48" s="56">
        <v>11</v>
      </c>
      <c r="D48" s="56">
        <v>29</v>
      </c>
      <c r="E48" s="56">
        <v>34</v>
      </c>
    </row>
    <row r="49" spans="1:5" ht="15" thickBot="1">
      <c r="A49" s="56">
        <v>7</v>
      </c>
      <c r="B49" s="56">
        <v>9</v>
      </c>
      <c r="C49" s="56">
        <v>16</v>
      </c>
      <c r="D49" s="56">
        <v>21</v>
      </c>
      <c r="E49" s="56">
        <v>26</v>
      </c>
    </row>
    <row r="50" spans="1:5" ht="15" thickBot="1">
      <c r="A50" s="56">
        <v>3</v>
      </c>
      <c r="B50" s="56">
        <v>5</v>
      </c>
      <c r="C50" s="56">
        <v>8</v>
      </c>
      <c r="D50" s="56">
        <v>18</v>
      </c>
      <c r="E50" s="56">
        <v>34</v>
      </c>
    </row>
    <row r="51" spans="1:5">
      <c r="A51" s="57">
        <v>1</v>
      </c>
      <c r="B51" s="57">
        <v>12</v>
      </c>
      <c r="C51" s="57">
        <v>22</v>
      </c>
      <c r="D51" s="57">
        <v>33</v>
      </c>
      <c r="E51" s="57">
        <v>34</v>
      </c>
    </row>
    <row r="53" spans="1:5" ht="15" thickBot="1">
      <c r="A53" s="59" t="s">
        <v>125</v>
      </c>
      <c r="B53" s="59" t="s">
        <v>126</v>
      </c>
      <c r="C53" s="59" t="s">
        <v>127</v>
      </c>
      <c r="D53" s="59" t="s">
        <v>128</v>
      </c>
      <c r="E53" s="59" t="s">
        <v>129</v>
      </c>
    </row>
    <row r="54" spans="1:5" ht="15" thickBot="1">
      <c r="A54" s="56">
        <v>2</v>
      </c>
      <c r="B54" s="56">
        <v>5</v>
      </c>
      <c r="C54" s="56">
        <v>11</v>
      </c>
      <c r="D54" s="56">
        <v>31</v>
      </c>
      <c r="E54" s="56">
        <v>33</v>
      </c>
    </row>
    <row r="55" spans="1:5" ht="15" thickBot="1">
      <c r="A55" s="56">
        <v>3</v>
      </c>
      <c r="B55" s="56">
        <v>12</v>
      </c>
      <c r="C55" s="56">
        <v>14</v>
      </c>
      <c r="D55" s="56">
        <v>15</v>
      </c>
      <c r="E55" s="56">
        <v>33</v>
      </c>
    </row>
    <row r="56" spans="1:5" ht="15" thickBot="1">
      <c r="A56" s="56">
        <v>1</v>
      </c>
      <c r="B56" s="56">
        <v>3</v>
      </c>
      <c r="C56" s="56">
        <v>8</v>
      </c>
      <c r="D56" s="56">
        <v>10</v>
      </c>
      <c r="E56" s="56">
        <v>34</v>
      </c>
    </row>
    <row r="57" spans="1:5" ht="15" thickBot="1">
      <c r="A57" s="56">
        <v>3</v>
      </c>
      <c r="B57" s="56">
        <v>6</v>
      </c>
      <c r="C57" s="56">
        <v>9</v>
      </c>
      <c r="D57" s="56">
        <v>22</v>
      </c>
      <c r="E57" s="56">
        <v>30</v>
      </c>
    </row>
    <row r="58" spans="1:5" ht="15" thickBot="1">
      <c r="A58" s="56">
        <v>4</v>
      </c>
      <c r="B58" s="56">
        <v>12</v>
      </c>
      <c r="C58" s="56">
        <v>18</v>
      </c>
      <c r="D58" s="56">
        <v>25</v>
      </c>
      <c r="E58" s="56">
        <v>29</v>
      </c>
    </row>
    <row r="59" spans="1:5" ht="15" thickBot="1">
      <c r="A59" s="56">
        <v>9</v>
      </c>
      <c r="B59" s="56">
        <v>11</v>
      </c>
      <c r="C59" s="56">
        <v>15</v>
      </c>
      <c r="D59" s="56">
        <v>18</v>
      </c>
      <c r="E59" s="56">
        <v>33</v>
      </c>
    </row>
    <row r="60" spans="1:5" ht="15" thickBot="1">
      <c r="A60" s="56">
        <v>8</v>
      </c>
      <c r="B60" s="56">
        <v>17</v>
      </c>
      <c r="C60" s="56">
        <v>20</v>
      </c>
      <c r="D60" s="56">
        <v>30</v>
      </c>
      <c r="E60" s="56">
        <v>34</v>
      </c>
    </row>
    <row r="61" spans="1:5" ht="15" thickBot="1">
      <c r="A61" s="56">
        <v>8</v>
      </c>
      <c r="B61" s="56">
        <v>21</v>
      </c>
      <c r="C61" s="56">
        <v>22</v>
      </c>
      <c r="D61" s="56">
        <v>26</v>
      </c>
      <c r="E61" s="56">
        <v>29</v>
      </c>
    </row>
    <row r="62" spans="1:5" ht="15" thickBot="1">
      <c r="A62" s="56">
        <v>2</v>
      </c>
      <c r="B62" s="56">
        <v>6</v>
      </c>
      <c r="C62" s="56">
        <v>19</v>
      </c>
      <c r="D62" s="56">
        <v>20</v>
      </c>
      <c r="E62" s="56">
        <v>22</v>
      </c>
    </row>
    <row r="63" spans="1:5" ht="15" thickBot="1">
      <c r="A63" s="56">
        <v>5</v>
      </c>
      <c r="B63" s="56">
        <v>15</v>
      </c>
      <c r="C63" s="56">
        <v>22</v>
      </c>
      <c r="D63" s="56">
        <v>25</v>
      </c>
      <c r="E63" s="56">
        <v>27</v>
      </c>
    </row>
    <row r="64" spans="1:5" ht="15" thickBot="1">
      <c r="A64" s="56">
        <v>5</v>
      </c>
      <c r="B64" s="56">
        <v>7</v>
      </c>
      <c r="C64" s="56">
        <v>21</v>
      </c>
      <c r="D64" s="56">
        <v>25</v>
      </c>
      <c r="E64" s="56">
        <v>32</v>
      </c>
    </row>
    <row r="65" spans="1:5" ht="15" thickBot="1">
      <c r="A65" s="56">
        <v>2</v>
      </c>
      <c r="B65" s="56">
        <v>8</v>
      </c>
      <c r="C65" s="56">
        <v>20</v>
      </c>
      <c r="D65" s="56">
        <v>21</v>
      </c>
      <c r="E65" s="56">
        <v>27</v>
      </c>
    </row>
    <row r="66" spans="1:5" ht="15" thickBot="1">
      <c r="A66" s="56">
        <v>1</v>
      </c>
      <c r="B66" s="56">
        <v>6</v>
      </c>
      <c r="C66" s="56">
        <v>10</v>
      </c>
      <c r="D66" s="56">
        <v>19</v>
      </c>
      <c r="E66" s="56">
        <v>29</v>
      </c>
    </row>
    <row r="67" spans="1:5" ht="15" thickBot="1">
      <c r="A67" s="56">
        <v>1</v>
      </c>
      <c r="B67" s="56">
        <v>2</v>
      </c>
      <c r="C67" s="56">
        <v>7</v>
      </c>
      <c r="D67" s="56">
        <v>14</v>
      </c>
      <c r="E67" s="56">
        <v>20</v>
      </c>
    </row>
    <row r="68" spans="1:5" ht="15" thickBot="1">
      <c r="A68" s="56">
        <v>3</v>
      </c>
      <c r="B68" s="56">
        <v>10</v>
      </c>
      <c r="C68" s="56">
        <v>20</v>
      </c>
      <c r="D68" s="56">
        <v>27</v>
      </c>
      <c r="E68" s="56">
        <v>33</v>
      </c>
    </row>
    <row r="69" spans="1:5" ht="15" thickBot="1">
      <c r="A69" s="56">
        <v>2</v>
      </c>
      <c r="B69" s="56">
        <v>24</v>
      </c>
      <c r="C69" s="56">
        <v>28</v>
      </c>
      <c r="D69" s="56">
        <v>30</v>
      </c>
      <c r="E69" s="56">
        <v>33</v>
      </c>
    </row>
    <row r="70" spans="1:5" ht="15" thickBot="1">
      <c r="A70" s="56">
        <v>1</v>
      </c>
      <c r="B70" s="56">
        <v>7</v>
      </c>
      <c r="C70" s="56">
        <v>8</v>
      </c>
      <c r="D70" s="56">
        <v>11</v>
      </c>
      <c r="E70" s="56">
        <v>22</v>
      </c>
    </row>
    <row r="71" spans="1:5" ht="15" thickBot="1">
      <c r="A71" s="56">
        <v>2</v>
      </c>
      <c r="B71" s="56">
        <v>8</v>
      </c>
      <c r="C71" s="56">
        <v>22</v>
      </c>
      <c r="D71" s="56">
        <v>25</v>
      </c>
      <c r="E71" s="56">
        <v>29</v>
      </c>
    </row>
    <row r="72" spans="1:5" ht="15" thickBot="1">
      <c r="A72" s="56">
        <v>5</v>
      </c>
      <c r="B72" s="56">
        <v>9</v>
      </c>
      <c r="C72" s="56">
        <v>22</v>
      </c>
      <c r="D72" s="56">
        <v>23</v>
      </c>
      <c r="E72" s="56">
        <v>25</v>
      </c>
    </row>
    <row r="73" spans="1:5" ht="15" thickBot="1">
      <c r="A73" s="56">
        <v>3</v>
      </c>
      <c r="B73" s="56">
        <v>17</v>
      </c>
      <c r="C73" s="56">
        <v>19</v>
      </c>
      <c r="D73" s="56">
        <v>26</v>
      </c>
      <c r="E73" s="56">
        <v>29</v>
      </c>
    </row>
    <row r="74" spans="1:5" ht="15" thickBot="1">
      <c r="A74" s="56">
        <v>7</v>
      </c>
      <c r="B74" s="56">
        <v>14</v>
      </c>
      <c r="C74" s="56">
        <v>15</v>
      </c>
      <c r="D74" s="56">
        <v>18</v>
      </c>
      <c r="E74" s="56">
        <v>23</v>
      </c>
    </row>
    <row r="75" spans="1:5" ht="15" thickBot="1">
      <c r="A75" s="56">
        <v>4</v>
      </c>
      <c r="B75" s="56">
        <v>6</v>
      </c>
      <c r="C75" s="56">
        <v>7</v>
      </c>
      <c r="D75" s="56">
        <v>14</v>
      </c>
      <c r="E75" s="56">
        <v>29</v>
      </c>
    </row>
    <row r="76" spans="1:5" ht="15" thickBot="1">
      <c r="A76" s="56">
        <v>4</v>
      </c>
      <c r="B76" s="56">
        <v>6</v>
      </c>
      <c r="C76" s="56">
        <v>12</v>
      </c>
      <c r="D76" s="56">
        <v>18</v>
      </c>
      <c r="E76" s="56">
        <v>25</v>
      </c>
    </row>
    <row r="77" spans="1:5" ht="15" thickBot="1">
      <c r="A77" s="56">
        <v>3</v>
      </c>
      <c r="B77" s="56">
        <v>12</v>
      </c>
      <c r="C77" s="56">
        <v>13</v>
      </c>
      <c r="D77" s="56">
        <v>14</v>
      </c>
      <c r="E77" s="56">
        <v>17</v>
      </c>
    </row>
    <row r="78" spans="1:5" ht="15" thickBot="1">
      <c r="A78" s="56">
        <v>4</v>
      </c>
      <c r="B78" s="56">
        <v>6</v>
      </c>
      <c r="C78" s="56">
        <v>7</v>
      </c>
      <c r="D78" s="56">
        <v>16</v>
      </c>
      <c r="E78" s="56">
        <v>33</v>
      </c>
    </row>
    <row r="79" spans="1:5" ht="15" thickBot="1">
      <c r="A79" s="56">
        <v>4</v>
      </c>
      <c r="B79" s="56">
        <v>5</v>
      </c>
      <c r="C79" s="56">
        <v>11</v>
      </c>
      <c r="D79" s="56">
        <v>12</v>
      </c>
      <c r="E79" s="56">
        <v>18</v>
      </c>
    </row>
    <row r="80" spans="1:5" ht="15" thickBot="1">
      <c r="A80" s="56">
        <v>3</v>
      </c>
      <c r="B80" s="56">
        <v>5</v>
      </c>
      <c r="C80" s="56">
        <v>21</v>
      </c>
      <c r="D80" s="56">
        <v>23</v>
      </c>
      <c r="E80" s="56">
        <v>26</v>
      </c>
    </row>
    <row r="81" spans="1:5" ht="15" thickBot="1">
      <c r="A81" s="56">
        <v>6</v>
      </c>
      <c r="B81" s="56">
        <v>10</v>
      </c>
      <c r="C81" s="56">
        <v>16</v>
      </c>
      <c r="D81" s="56">
        <v>21</v>
      </c>
      <c r="E81" s="56">
        <v>34</v>
      </c>
    </row>
    <row r="82" spans="1:5" ht="15" thickBot="1">
      <c r="A82" s="56">
        <v>2</v>
      </c>
      <c r="B82" s="56">
        <v>5</v>
      </c>
      <c r="C82" s="56">
        <v>12</v>
      </c>
      <c r="D82" s="56">
        <v>22</v>
      </c>
      <c r="E82" s="56">
        <v>31</v>
      </c>
    </row>
    <row r="83" spans="1:5" ht="15" thickBot="1">
      <c r="A83" s="56">
        <v>4</v>
      </c>
      <c r="B83" s="56">
        <v>6</v>
      </c>
      <c r="C83" s="56">
        <v>8</v>
      </c>
      <c r="D83" s="56">
        <v>10</v>
      </c>
      <c r="E83" s="56">
        <v>31</v>
      </c>
    </row>
    <row r="84" spans="1:5" ht="15" thickBot="1">
      <c r="A84" s="56">
        <v>16</v>
      </c>
      <c r="B84" s="56">
        <v>19</v>
      </c>
      <c r="C84" s="56">
        <v>24</v>
      </c>
      <c r="D84" s="56">
        <v>30</v>
      </c>
      <c r="E84" s="56">
        <v>31</v>
      </c>
    </row>
    <row r="85" spans="1:5" ht="15" thickBot="1">
      <c r="A85" s="56">
        <v>3</v>
      </c>
      <c r="B85" s="56">
        <v>5</v>
      </c>
      <c r="C85" s="56">
        <v>25</v>
      </c>
      <c r="D85" s="56">
        <v>28</v>
      </c>
      <c r="E85" s="56">
        <v>31</v>
      </c>
    </row>
    <row r="86" spans="1:5" ht="15" thickBot="1">
      <c r="A86" s="56">
        <v>7</v>
      </c>
      <c r="B86" s="56">
        <v>19</v>
      </c>
      <c r="C86" s="56">
        <v>23</v>
      </c>
      <c r="D86" s="56">
        <v>27</v>
      </c>
      <c r="E86" s="56">
        <v>33</v>
      </c>
    </row>
    <row r="87" spans="1:5" ht="15" thickBot="1">
      <c r="A87" s="56">
        <v>2</v>
      </c>
      <c r="B87" s="56">
        <v>8</v>
      </c>
      <c r="C87" s="56">
        <v>17</v>
      </c>
      <c r="D87" s="56">
        <v>21</v>
      </c>
      <c r="E87" s="56">
        <v>31</v>
      </c>
    </row>
    <row r="88" spans="1:5" ht="15" thickBot="1">
      <c r="A88" s="56">
        <v>3</v>
      </c>
      <c r="B88" s="56">
        <v>19</v>
      </c>
      <c r="C88" s="56">
        <v>21</v>
      </c>
      <c r="D88" s="56">
        <v>25</v>
      </c>
      <c r="E88" s="56">
        <v>34</v>
      </c>
    </row>
    <row r="89" spans="1:5" ht="15" thickBot="1">
      <c r="A89" s="56">
        <v>8</v>
      </c>
      <c r="B89" s="56">
        <v>28</v>
      </c>
      <c r="C89" s="56">
        <v>30</v>
      </c>
      <c r="D89" s="56">
        <v>32</v>
      </c>
      <c r="E89" s="56">
        <v>34</v>
      </c>
    </row>
    <row r="90" spans="1:5" ht="15" thickBot="1">
      <c r="A90" s="56">
        <v>16</v>
      </c>
      <c r="B90" s="56">
        <v>18</v>
      </c>
      <c r="C90" s="56">
        <v>20</v>
      </c>
      <c r="D90" s="56">
        <v>21</v>
      </c>
      <c r="E90" s="56">
        <v>32</v>
      </c>
    </row>
    <row r="91" spans="1:5" ht="15" thickBot="1">
      <c r="A91" s="56">
        <v>8</v>
      </c>
      <c r="B91" s="56">
        <v>10</v>
      </c>
      <c r="C91" s="56">
        <v>13</v>
      </c>
      <c r="D91" s="56">
        <v>19</v>
      </c>
      <c r="E91" s="56">
        <v>22</v>
      </c>
    </row>
    <row r="92" spans="1:5" ht="15" thickBot="1">
      <c r="A92" s="56">
        <v>5</v>
      </c>
      <c r="B92" s="56">
        <v>22</v>
      </c>
      <c r="C92" s="56">
        <v>23</v>
      </c>
      <c r="D92" s="56">
        <v>28</v>
      </c>
      <c r="E92" s="56">
        <v>31</v>
      </c>
    </row>
    <row r="93" spans="1:5" ht="15" thickBot="1">
      <c r="A93" s="56">
        <v>5</v>
      </c>
      <c r="B93" s="56">
        <v>12</v>
      </c>
      <c r="C93" s="56">
        <v>24</v>
      </c>
      <c r="D93" s="56">
        <v>32</v>
      </c>
      <c r="E93" s="56">
        <v>34</v>
      </c>
    </row>
    <row r="94" spans="1:5" ht="15" thickBot="1">
      <c r="A94" s="56">
        <v>2</v>
      </c>
      <c r="B94" s="56">
        <v>8</v>
      </c>
      <c r="C94" s="56">
        <v>9</v>
      </c>
      <c r="D94" s="56">
        <v>15</v>
      </c>
      <c r="E94" s="56">
        <v>19</v>
      </c>
    </row>
    <row r="95" spans="1:5" ht="15" thickBot="1">
      <c r="A95" s="56">
        <v>2</v>
      </c>
      <c r="B95" s="56">
        <v>16</v>
      </c>
      <c r="C95" s="56">
        <v>20</v>
      </c>
      <c r="D95" s="56">
        <v>29</v>
      </c>
      <c r="E95" s="56">
        <v>34</v>
      </c>
    </row>
    <row r="96" spans="1:5" ht="15" thickBot="1">
      <c r="A96" s="56">
        <v>15</v>
      </c>
      <c r="B96" s="56">
        <v>17</v>
      </c>
      <c r="C96" s="56">
        <v>22</v>
      </c>
      <c r="D96" s="56">
        <v>24</v>
      </c>
      <c r="E96" s="56">
        <v>29</v>
      </c>
    </row>
    <row r="97" spans="1:5" ht="15" thickBot="1">
      <c r="A97" s="56">
        <v>4</v>
      </c>
      <c r="B97" s="56">
        <v>14</v>
      </c>
      <c r="C97" s="56">
        <v>15</v>
      </c>
      <c r="D97" s="56">
        <v>17</v>
      </c>
      <c r="E97" s="56">
        <v>28</v>
      </c>
    </row>
    <row r="98" spans="1:5" ht="15" thickBot="1">
      <c r="A98" s="56">
        <v>2</v>
      </c>
      <c r="B98" s="56">
        <v>3</v>
      </c>
      <c r="C98" s="56">
        <v>10</v>
      </c>
      <c r="D98" s="56">
        <v>16</v>
      </c>
      <c r="E98" s="56">
        <v>23</v>
      </c>
    </row>
    <row r="99" spans="1:5" ht="15" thickBot="1">
      <c r="A99" s="56">
        <v>4</v>
      </c>
      <c r="B99" s="56">
        <v>7</v>
      </c>
      <c r="C99" s="56">
        <v>10</v>
      </c>
      <c r="D99" s="56">
        <v>11</v>
      </c>
      <c r="E99" s="56">
        <v>27</v>
      </c>
    </row>
    <row r="100" spans="1:5" ht="15" thickBot="1">
      <c r="A100" s="56">
        <v>1</v>
      </c>
      <c r="B100" s="56">
        <v>5</v>
      </c>
      <c r="C100" s="56">
        <v>20</v>
      </c>
      <c r="D100" s="56">
        <v>23</v>
      </c>
      <c r="E100" s="56">
        <v>29</v>
      </c>
    </row>
    <row r="101" spans="1:5" ht="15" thickBot="1">
      <c r="A101" s="56">
        <v>1</v>
      </c>
      <c r="B101" s="56">
        <v>8</v>
      </c>
      <c r="C101" s="56">
        <v>16</v>
      </c>
      <c r="D101" s="56">
        <v>17</v>
      </c>
      <c r="E101" s="56">
        <v>22</v>
      </c>
    </row>
    <row r="102" spans="1:5" ht="15" thickBot="1">
      <c r="A102" s="56">
        <v>5</v>
      </c>
      <c r="B102" s="56">
        <v>8</v>
      </c>
      <c r="C102" s="56">
        <v>14</v>
      </c>
      <c r="D102" s="56">
        <v>15</v>
      </c>
      <c r="E102" s="56">
        <v>38</v>
      </c>
    </row>
    <row r="103" spans="1:5" ht="15" thickBot="1">
      <c r="A103" s="56">
        <v>2</v>
      </c>
      <c r="B103" s="56">
        <v>20</v>
      </c>
      <c r="C103" s="56">
        <v>25</v>
      </c>
      <c r="D103" s="56">
        <v>27</v>
      </c>
      <c r="E103" s="56">
        <v>33</v>
      </c>
    </row>
    <row r="104" spans="1:5" ht="15" thickBot="1">
      <c r="A104" s="56">
        <v>5</v>
      </c>
      <c r="B104" s="56">
        <v>7</v>
      </c>
      <c r="C104" s="56">
        <v>12</v>
      </c>
      <c r="D104" s="56">
        <v>21</v>
      </c>
      <c r="E104" s="56">
        <v>31</v>
      </c>
    </row>
    <row r="105" spans="1:5" ht="15" thickBot="1">
      <c r="A105" s="56">
        <v>1</v>
      </c>
      <c r="B105" s="56">
        <v>2</v>
      </c>
      <c r="C105" s="56">
        <v>4</v>
      </c>
      <c r="D105" s="56">
        <v>7</v>
      </c>
      <c r="E105" s="56">
        <v>16</v>
      </c>
    </row>
    <row r="106" spans="1:5" ht="15" thickBot="1">
      <c r="A106" s="56">
        <v>7</v>
      </c>
      <c r="B106" s="56">
        <v>15</v>
      </c>
      <c r="C106" s="56">
        <v>16</v>
      </c>
      <c r="D106" s="56">
        <v>26</v>
      </c>
      <c r="E106" s="56">
        <v>30</v>
      </c>
    </row>
    <row r="107" spans="1:5" ht="15" thickBot="1">
      <c r="A107" s="56">
        <v>9</v>
      </c>
      <c r="B107" s="56">
        <v>18</v>
      </c>
      <c r="C107" s="56">
        <v>22</v>
      </c>
      <c r="D107" s="56">
        <v>32</v>
      </c>
      <c r="E107" s="56">
        <v>33</v>
      </c>
    </row>
    <row r="108" spans="1:5" ht="15" thickBot="1">
      <c r="A108" s="56">
        <v>8</v>
      </c>
      <c r="B108" s="56">
        <v>10</v>
      </c>
      <c r="C108" s="56">
        <v>12</v>
      </c>
      <c r="D108" s="56">
        <v>20</v>
      </c>
      <c r="E108" s="56">
        <v>28</v>
      </c>
    </row>
    <row r="109" spans="1:5" ht="15" thickBot="1">
      <c r="A109" s="56">
        <v>5</v>
      </c>
      <c r="B109" s="56">
        <v>6</v>
      </c>
      <c r="C109" s="56">
        <v>21</v>
      </c>
      <c r="D109" s="56">
        <v>22</v>
      </c>
      <c r="E109" s="56">
        <v>31</v>
      </c>
    </row>
    <row r="110" spans="1:5" ht="15" thickBot="1">
      <c r="A110" s="56">
        <v>13</v>
      </c>
      <c r="B110" s="56">
        <v>17</v>
      </c>
      <c r="C110" s="56">
        <v>30</v>
      </c>
      <c r="D110" s="56">
        <v>32</v>
      </c>
      <c r="E110" s="56">
        <v>34</v>
      </c>
    </row>
    <row r="111" spans="1:5" ht="15" thickBot="1">
      <c r="A111" s="56">
        <v>14</v>
      </c>
      <c r="B111" s="56">
        <v>18</v>
      </c>
      <c r="C111" s="56">
        <v>19</v>
      </c>
      <c r="D111" s="56">
        <v>20</v>
      </c>
      <c r="E111" s="56">
        <v>27</v>
      </c>
    </row>
    <row r="112" spans="1:5" ht="15" thickBot="1">
      <c r="A112" s="56">
        <v>1</v>
      </c>
      <c r="B112" s="56">
        <v>9</v>
      </c>
      <c r="C112" s="56">
        <v>18</v>
      </c>
      <c r="D112" s="56">
        <v>22</v>
      </c>
      <c r="E112" s="56">
        <v>25</v>
      </c>
    </row>
    <row r="113" spans="1:5" ht="15" thickBot="1">
      <c r="A113" s="56">
        <v>3</v>
      </c>
      <c r="B113" s="56">
        <v>7</v>
      </c>
      <c r="C113" s="56">
        <v>8</v>
      </c>
      <c r="D113" s="56">
        <v>16</v>
      </c>
      <c r="E113" s="56">
        <v>21</v>
      </c>
    </row>
    <row r="114" spans="1:5" ht="15" thickBot="1">
      <c r="A114" s="56">
        <v>5</v>
      </c>
      <c r="B114" s="56">
        <v>11</v>
      </c>
      <c r="C114" s="56">
        <v>23</v>
      </c>
      <c r="D114" s="56">
        <v>27</v>
      </c>
      <c r="E114" s="56">
        <v>30</v>
      </c>
    </row>
    <row r="115" spans="1:5" ht="15" thickBot="1">
      <c r="A115" s="56">
        <v>5</v>
      </c>
      <c r="B115" s="56">
        <v>11</v>
      </c>
      <c r="C115" s="56">
        <v>23</v>
      </c>
      <c r="D115" s="56">
        <v>27</v>
      </c>
      <c r="E115" s="56">
        <v>30</v>
      </c>
    </row>
    <row r="116" spans="1:5" ht="15" thickBot="1">
      <c r="A116" s="56">
        <v>12</v>
      </c>
      <c r="B116" s="56">
        <v>13</v>
      </c>
      <c r="C116" s="56">
        <v>18</v>
      </c>
      <c r="D116" s="56">
        <v>21</v>
      </c>
      <c r="E116" s="56">
        <v>26</v>
      </c>
    </row>
    <row r="117" spans="1:5" ht="15" thickBot="1">
      <c r="A117" s="56">
        <v>6</v>
      </c>
      <c r="B117" s="56">
        <v>7</v>
      </c>
      <c r="C117" s="56">
        <v>9</v>
      </c>
      <c r="D117" s="56">
        <v>15</v>
      </c>
      <c r="E117" s="56">
        <v>26</v>
      </c>
    </row>
    <row r="118" spans="1:5" ht="15" thickBot="1">
      <c r="A118" s="56">
        <v>1</v>
      </c>
      <c r="B118" s="56">
        <v>12</v>
      </c>
      <c r="C118" s="56">
        <v>22</v>
      </c>
      <c r="D118" s="56">
        <v>25</v>
      </c>
      <c r="E118" s="56">
        <v>28</v>
      </c>
    </row>
    <row r="119" spans="1:5" ht="15" thickBot="1">
      <c r="A119" s="56">
        <v>1</v>
      </c>
      <c r="B119" s="56">
        <v>4</v>
      </c>
      <c r="C119" s="56">
        <v>11</v>
      </c>
      <c r="D119" s="56">
        <v>13</v>
      </c>
      <c r="E119" s="56">
        <v>29</v>
      </c>
    </row>
    <row r="120" spans="1:5" ht="15" thickBot="1">
      <c r="A120" s="56">
        <v>1</v>
      </c>
      <c r="B120" s="56">
        <v>5</v>
      </c>
      <c r="C120" s="56">
        <v>9</v>
      </c>
      <c r="D120" s="56">
        <v>22</v>
      </c>
      <c r="E120" s="56">
        <v>24</v>
      </c>
    </row>
    <row r="121" spans="1:5" ht="15" thickBot="1">
      <c r="A121" s="56">
        <v>10</v>
      </c>
      <c r="B121" s="56">
        <v>13</v>
      </c>
      <c r="C121" s="56">
        <v>16</v>
      </c>
      <c r="D121" s="56">
        <v>22</v>
      </c>
      <c r="E121" s="56">
        <v>29</v>
      </c>
    </row>
    <row r="122" spans="1:5" ht="15" thickBot="1">
      <c r="A122" s="56">
        <v>3</v>
      </c>
      <c r="B122" s="56">
        <v>12</v>
      </c>
      <c r="C122" s="56">
        <v>13</v>
      </c>
      <c r="D122" s="56">
        <v>22</v>
      </c>
      <c r="E122" s="56">
        <v>23</v>
      </c>
    </row>
    <row r="123" spans="1:5" ht="15" thickBot="1">
      <c r="A123" s="56">
        <v>4</v>
      </c>
      <c r="B123" s="56">
        <v>8</v>
      </c>
      <c r="C123" s="56">
        <v>17</v>
      </c>
      <c r="D123" s="56">
        <v>22</v>
      </c>
      <c r="E123" s="56">
        <v>28</v>
      </c>
    </row>
    <row r="124" spans="1:5" ht="15" thickBot="1">
      <c r="A124" s="56">
        <v>2</v>
      </c>
      <c r="B124" s="56">
        <v>21</v>
      </c>
      <c r="C124" s="56">
        <v>24</v>
      </c>
      <c r="D124" s="56">
        <v>30</v>
      </c>
      <c r="E124" s="56">
        <v>33</v>
      </c>
    </row>
    <row r="125" spans="1:5" ht="15" thickBot="1">
      <c r="A125" s="56">
        <v>22</v>
      </c>
      <c r="B125" s="56">
        <v>25</v>
      </c>
      <c r="C125" s="56">
        <v>31</v>
      </c>
      <c r="D125" s="56">
        <v>32</v>
      </c>
      <c r="E125" s="56">
        <v>33</v>
      </c>
    </row>
    <row r="126" spans="1:5" ht="15" thickBot="1">
      <c r="A126" s="56">
        <v>8</v>
      </c>
      <c r="B126" s="56">
        <v>10</v>
      </c>
      <c r="C126" s="56">
        <v>11</v>
      </c>
      <c r="D126" s="56">
        <v>28</v>
      </c>
      <c r="E126" s="56">
        <v>32</v>
      </c>
    </row>
    <row r="127" spans="1:5" ht="15" thickBot="1">
      <c r="A127" s="56">
        <v>5</v>
      </c>
      <c r="B127" s="56">
        <v>17</v>
      </c>
      <c r="C127" s="56">
        <v>19</v>
      </c>
      <c r="D127" s="56">
        <v>23</v>
      </c>
      <c r="E127" s="56">
        <v>29</v>
      </c>
    </row>
    <row r="128" spans="1:5" ht="15" thickBot="1">
      <c r="A128" s="56">
        <v>1</v>
      </c>
      <c r="B128" s="56">
        <v>15</v>
      </c>
      <c r="C128" s="56">
        <v>22</v>
      </c>
      <c r="D128" s="56">
        <v>23</v>
      </c>
      <c r="E128" s="56">
        <v>32</v>
      </c>
    </row>
    <row r="129" spans="1:5" ht="15" thickBot="1">
      <c r="A129" s="56">
        <v>14</v>
      </c>
      <c r="B129" s="56">
        <v>15</v>
      </c>
      <c r="C129" s="56">
        <v>19</v>
      </c>
      <c r="D129" s="56">
        <v>20</v>
      </c>
      <c r="E129" s="56">
        <v>32</v>
      </c>
    </row>
    <row r="130" spans="1:5" ht="15" thickBot="1">
      <c r="A130" s="56">
        <v>7</v>
      </c>
      <c r="B130" s="56">
        <v>9</v>
      </c>
      <c r="C130" s="56">
        <v>14</v>
      </c>
      <c r="D130" s="56">
        <v>26</v>
      </c>
      <c r="E130" s="56">
        <v>32</v>
      </c>
    </row>
    <row r="131" spans="1:5" ht="15" thickBot="1">
      <c r="A131" s="56">
        <v>2</v>
      </c>
      <c r="B131" s="56">
        <v>6</v>
      </c>
      <c r="C131" s="56">
        <v>18</v>
      </c>
      <c r="D131" s="56">
        <v>26</v>
      </c>
      <c r="E131" s="56">
        <v>33</v>
      </c>
    </row>
    <row r="132" spans="1:5" ht="15" thickBot="1">
      <c r="A132" s="56">
        <v>7</v>
      </c>
      <c r="B132" s="56">
        <v>8</v>
      </c>
      <c r="C132" s="56">
        <v>22</v>
      </c>
      <c r="D132" s="56">
        <v>25</v>
      </c>
      <c r="E132" s="56">
        <v>32</v>
      </c>
    </row>
    <row r="133" spans="1:5" ht="15" thickBot="1">
      <c r="A133" s="56">
        <v>2</v>
      </c>
      <c r="B133" s="56">
        <v>15</v>
      </c>
      <c r="C133" s="56">
        <v>25</v>
      </c>
      <c r="D133" s="56">
        <v>28</v>
      </c>
      <c r="E133" s="56">
        <v>32</v>
      </c>
    </row>
    <row r="134" spans="1:5" ht="15" thickBot="1">
      <c r="A134" s="56">
        <v>5</v>
      </c>
      <c r="B134" s="56">
        <v>6</v>
      </c>
      <c r="C134" s="56">
        <v>8</v>
      </c>
      <c r="D134" s="56">
        <v>22</v>
      </c>
      <c r="E134" s="56">
        <v>32</v>
      </c>
    </row>
    <row r="135" spans="1:5" ht="15" thickBot="1">
      <c r="A135" s="56">
        <v>5</v>
      </c>
      <c r="B135" s="56">
        <v>9</v>
      </c>
      <c r="C135" s="56">
        <v>10</v>
      </c>
      <c r="D135" s="56">
        <v>13</v>
      </c>
      <c r="E135" s="56">
        <v>14</v>
      </c>
    </row>
    <row r="136" spans="1:5" ht="15" thickBot="1">
      <c r="A136" s="56">
        <v>3</v>
      </c>
      <c r="B136" s="56">
        <v>26</v>
      </c>
      <c r="C136" s="56">
        <v>27</v>
      </c>
      <c r="D136" s="56">
        <v>29</v>
      </c>
      <c r="E136" s="56">
        <v>33</v>
      </c>
    </row>
    <row r="137" spans="1:5" ht="15" thickBot="1">
      <c r="A137" s="56">
        <v>2</v>
      </c>
      <c r="B137" s="56">
        <v>5</v>
      </c>
      <c r="C137" s="56">
        <v>12</v>
      </c>
      <c r="D137" s="56">
        <v>19</v>
      </c>
      <c r="E137" s="56">
        <v>27</v>
      </c>
    </row>
    <row r="138" spans="1:5" ht="15" thickBot="1">
      <c r="A138" s="56">
        <v>1</v>
      </c>
      <c r="B138" s="56">
        <v>13</v>
      </c>
      <c r="C138" s="56">
        <v>15</v>
      </c>
      <c r="D138" s="56">
        <v>25</v>
      </c>
      <c r="E138" s="56">
        <v>34</v>
      </c>
    </row>
    <row r="139" spans="1:5" ht="15" thickBot="1">
      <c r="A139" s="56">
        <v>3</v>
      </c>
      <c r="B139" s="56">
        <v>5</v>
      </c>
      <c r="C139" s="56">
        <v>18</v>
      </c>
      <c r="D139" s="56">
        <v>23</v>
      </c>
      <c r="E139" s="56">
        <v>27</v>
      </c>
    </row>
    <row r="140" spans="1:5" ht="15" thickBot="1">
      <c r="A140" s="56">
        <v>3</v>
      </c>
      <c r="B140" s="56">
        <v>19</v>
      </c>
      <c r="C140" s="56">
        <v>21</v>
      </c>
      <c r="D140" s="56">
        <v>32</v>
      </c>
      <c r="E140" s="56">
        <v>33</v>
      </c>
    </row>
    <row r="141" spans="1:5" ht="15" thickBot="1">
      <c r="A141" s="56">
        <v>4</v>
      </c>
      <c r="B141" s="56">
        <v>15</v>
      </c>
      <c r="C141" s="56">
        <v>19</v>
      </c>
      <c r="D141" s="56">
        <v>24</v>
      </c>
      <c r="E141" s="56">
        <v>27</v>
      </c>
    </row>
    <row r="142" spans="1:5" ht="15" thickBot="1">
      <c r="A142" s="56">
        <v>3</v>
      </c>
      <c r="B142" s="56">
        <v>20</v>
      </c>
      <c r="C142" s="56">
        <v>21</v>
      </c>
      <c r="D142" s="56">
        <v>25</v>
      </c>
      <c r="E142" s="56">
        <v>34</v>
      </c>
    </row>
    <row r="143" spans="1:5" ht="15" thickBot="1">
      <c r="A143" s="56">
        <v>11</v>
      </c>
      <c r="B143" s="56">
        <v>20</v>
      </c>
      <c r="C143" s="56">
        <v>24</v>
      </c>
      <c r="D143" s="56">
        <v>26</v>
      </c>
      <c r="E143" s="56">
        <v>29</v>
      </c>
    </row>
    <row r="144" spans="1:5" ht="15" thickBot="1">
      <c r="A144" s="56">
        <v>4</v>
      </c>
      <c r="B144" s="56">
        <v>22</v>
      </c>
      <c r="C144" s="56">
        <v>26</v>
      </c>
      <c r="D144" s="56">
        <v>31</v>
      </c>
      <c r="E144" s="56">
        <v>32</v>
      </c>
    </row>
    <row r="145" spans="1:5" ht="15" thickBot="1">
      <c r="A145" s="56">
        <v>2</v>
      </c>
      <c r="B145" s="56">
        <v>5</v>
      </c>
      <c r="C145" s="56">
        <v>9</v>
      </c>
      <c r="D145" s="56">
        <v>17</v>
      </c>
      <c r="E145" s="56">
        <v>25</v>
      </c>
    </row>
    <row r="146" spans="1:5" ht="15" thickBot="1">
      <c r="A146" s="56">
        <v>2</v>
      </c>
      <c r="B146" s="56">
        <v>10</v>
      </c>
      <c r="C146" s="56">
        <v>15</v>
      </c>
      <c r="D146" s="56">
        <v>17</v>
      </c>
      <c r="E146" s="56">
        <v>23</v>
      </c>
    </row>
    <row r="147" spans="1:5" ht="15" thickBot="1">
      <c r="A147" s="56">
        <v>10</v>
      </c>
      <c r="B147" s="56">
        <v>13</v>
      </c>
      <c r="C147" s="56">
        <v>19</v>
      </c>
      <c r="D147" s="56">
        <v>27</v>
      </c>
      <c r="E147" s="56">
        <v>31</v>
      </c>
    </row>
    <row r="148" spans="1:5" ht="15" thickBot="1">
      <c r="A148" s="56">
        <v>1</v>
      </c>
      <c r="B148" s="56">
        <v>8</v>
      </c>
      <c r="C148" s="56">
        <v>18</v>
      </c>
      <c r="D148" s="56">
        <v>27</v>
      </c>
      <c r="E148" s="56">
        <v>29</v>
      </c>
    </row>
    <row r="149" spans="1:5" ht="15" thickBot="1">
      <c r="A149" s="56">
        <v>2</v>
      </c>
      <c r="B149" s="56">
        <v>4</v>
      </c>
      <c r="C149" s="56">
        <v>8</v>
      </c>
      <c r="D149" s="56">
        <v>9</v>
      </c>
      <c r="E149" s="56">
        <v>20</v>
      </c>
    </row>
    <row r="150" spans="1:5" ht="15" thickBot="1">
      <c r="A150" s="56">
        <v>6</v>
      </c>
      <c r="B150" s="56">
        <v>17</v>
      </c>
      <c r="C150" s="56">
        <v>18</v>
      </c>
      <c r="D150" s="56">
        <v>23</v>
      </c>
      <c r="E150" s="56">
        <v>28</v>
      </c>
    </row>
    <row r="151" spans="1:5" ht="15" thickBot="1">
      <c r="A151" s="56">
        <v>2</v>
      </c>
      <c r="B151" s="56">
        <v>10</v>
      </c>
      <c r="C151" s="56">
        <v>15</v>
      </c>
      <c r="D151" s="56">
        <v>16</v>
      </c>
      <c r="E151" s="56">
        <v>30</v>
      </c>
    </row>
    <row r="152" spans="1:5" ht="15" thickBot="1">
      <c r="A152" s="56">
        <v>5</v>
      </c>
      <c r="B152" s="56">
        <v>9</v>
      </c>
      <c r="C152" s="56">
        <v>18</v>
      </c>
      <c r="D152" s="56">
        <v>22</v>
      </c>
      <c r="E152" s="56">
        <v>31</v>
      </c>
    </row>
    <row r="153" spans="1:5" ht="15" thickBot="1">
      <c r="A153" s="56">
        <v>6</v>
      </c>
      <c r="B153" s="56">
        <v>9</v>
      </c>
      <c r="C153" s="56">
        <v>19</v>
      </c>
      <c r="D153" s="56">
        <v>25</v>
      </c>
      <c r="E153" s="56">
        <v>30</v>
      </c>
    </row>
    <row r="154" spans="1:5" ht="15" thickBot="1">
      <c r="A154" s="56">
        <v>9</v>
      </c>
      <c r="B154" s="56">
        <v>14</v>
      </c>
      <c r="C154" s="56">
        <v>29</v>
      </c>
      <c r="D154" s="56">
        <v>31</v>
      </c>
      <c r="E154" s="56">
        <v>33</v>
      </c>
    </row>
    <row r="155" spans="1:5" ht="15" thickBot="1">
      <c r="A155" s="56">
        <v>2</v>
      </c>
      <c r="B155" s="56">
        <v>8</v>
      </c>
      <c r="C155" s="56">
        <v>22</v>
      </c>
      <c r="D155" s="56">
        <v>31</v>
      </c>
      <c r="E155" s="56">
        <v>32</v>
      </c>
    </row>
    <row r="156" spans="1:5" ht="15" thickBot="1">
      <c r="A156" s="56">
        <v>6</v>
      </c>
      <c r="B156" s="56">
        <v>16</v>
      </c>
      <c r="C156" s="56">
        <v>32</v>
      </c>
      <c r="D156" s="56">
        <v>33</v>
      </c>
      <c r="E156" s="56">
        <v>34</v>
      </c>
    </row>
    <row r="157" spans="1:5" ht="15" thickBot="1">
      <c r="A157" s="56">
        <v>21</v>
      </c>
      <c r="B157" s="56">
        <v>23</v>
      </c>
      <c r="C157" s="56">
        <v>24</v>
      </c>
      <c r="D157" s="56">
        <v>26</v>
      </c>
      <c r="E157" s="56">
        <v>34</v>
      </c>
    </row>
    <row r="158" spans="1:5" ht="15" thickBot="1">
      <c r="A158" s="56">
        <v>8</v>
      </c>
      <c r="B158" s="56">
        <v>10</v>
      </c>
      <c r="C158" s="56">
        <v>16</v>
      </c>
      <c r="D158" s="56">
        <v>31</v>
      </c>
      <c r="E158" s="56">
        <v>34</v>
      </c>
    </row>
    <row r="159" spans="1:5">
      <c r="A159" s="57">
        <v>1</v>
      </c>
      <c r="B159" s="57">
        <v>5</v>
      </c>
      <c r="C159" s="57">
        <v>8</v>
      </c>
      <c r="D159" s="57">
        <v>13</v>
      </c>
      <c r="E159" s="57">
        <v>19</v>
      </c>
    </row>
    <row r="161" spans="1:5" ht="15" thickBot="1">
      <c r="A161" s="59" t="s">
        <v>125</v>
      </c>
      <c r="B161" s="59" t="s">
        <v>126</v>
      </c>
      <c r="C161" s="59" t="s">
        <v>127</v>
      </c>
      <c r="D161" s="59" t="s">
        <v>128</v>
      </c>
      <c r="E161" s="59" t="s">
        <v>129</v>
      </c>
    </row>
    <row r="162" spans="1:5" ht="15" thickBot="1">
      <c r="A162" s="56">
        <v>5</v>
      </c>
      <c r="B162" s="56">
        <v>14</v>
      </c>
      <c r="C162" s="56">
        <v>19</v>
      </c>
      <c r="D162" s="56">
        <v>20</v>
      </c>
      <c r="E162" s="56">
        <v>30</v>
      </c>
    </row>
    <row r="163" spans="1:5" ht="15" thickBot="1">
      <c r="A163" s="56">
        <v>10</v>
      </c>
      <c r="B163" s="56">
        <v>11</v>
      </c>
      <c r="C163" s="56">
        <v>13</v>
      </c>
      <c r="D163" s="56">
        <v>14</v>
      </c>
      <c r="E163" s="56">
        <v>33</v>
      </c>
    </row>
    <row r="164" spans="1:5" ht="15" thickBot="1">
      <c r="A164" s="56">
        <v>2</v>
      </c>
      <c r="B164" s="56">
        <v>8</v>
      </c>
      <c r="C164" s="56">
        <v>16</v>
      </c>
      <c r="D164" s="56">
        <v>18</v>
      </c>
      <c r="E164" s="56">
        <v>32</v>
      </c>
    </row>
    <row r="165" spans="1:5" ht="15" thickBot="1">
      <c r="A165" s="56">
        <v>2</v>
      </c>
      <c r="B165" s="56">
        <v>14</v>
      </c>
      <c r="C165" s="56">
        <v>22</v>
      </c>
      <c r="D165" s="56">
        <v>29</v>
      </c>
      <c r="E165" s="56">
        <v>34</v>
      </c>
    </row>
    <row r="166" spans="1:5" ht="15" thickBot="1">
      <c r="A166" s="56">
        <v>1</v>
      </c>
      <c r="B166" s="56">
        <v>14</v>
      </c>
      <c r="C166" s="56">
        <v>17</v>
      </c>
      <c r="D166" s="56">
        <v>20</v>
      </c>
      <c r="E166" s="56">
        <v>23</v>
      </c>
    </row>
    <row r="167" spans="1:5" ht="15" thickBot="1">
      <c r="A167" s="56">
        <v>3</v>
      </c>
      <c r="B167" s="56">
        <v>4</v>
      </c>
      <c r="C167" s="56">
        <v>11</v>
      </c>
      <c r="D167" s="56">
        <v>23</v>
      </c>
      <c r="E167" s="56">
        <v>29</v>
      </c>
    </row>
    <row r="168" spans="1:5" ht="15" thickBot="1">
      <c r="A168" s="56">
        <v>5</v>
      </c>
      <c r="B168" s="56">
        <v>16</v>
      </c>
      <c r="C168" s="56">
        <v>19</v>
      </c>
      <c r="D168" s="56">
        <v>26</v>
      </c>
      <c r="E168" s="56">
        <v>32</v>
      </c>
    </row>
    <row r="169" spans="1:5" ht="15" thickBot="1">
      <c r="A169" s="56">
        <v>7</v>
      </c>
      <c r="B169" s="56">
        <v>18</v>
      </c>
      <c r="C169" s="56">
        <v>31</v>
      </c>
      <c r="D169" s="56">
        <v>33</v>
      </c>
      <c r="E169" s="56">
        <v>34</v>
      </c>
    </row>
    <row r="170" spans="1:5" ht="15" thickBot="1">
      <c r="A170" s="56">
        <v>1</v>
      </c>
      <c r="B170" s="56">
        <v>19</v>
      </c>
      <c r="C170" s="56">
        <v>24</v>
      </c>
      <c r="D170" s="56">
        <v>28</v>
      </c>
      <c r="E170" s="56">
        <v>31</v>
      </c>
    </row>
    <row r="171" spans="1:5" ht="15" thickBot="1">
      <c r="A171" s="56">
        <v>3</v>
      </c>
      <c r="B171" s="56">
        <v>11</v>
      </c>
      <c r="C171" s="56">
        <v>17</v>
      </c>
      <c r="D171" s="56">
        <v>23</v>
      </c>
      <c r="E171" s="56">
        <v>34</v>
      </c>
    </row>
    <row r="172" spans="1:5" ht="15" thickBot="1">
      <c r="A172" s="56">
        <v>8</v>
      </c>
      <c r="B172" s="56">
        <v>10</v>
      </c>
      <c r="C172" s="56">
        <v>12</v>
      </c>
      <c r="D172" s="56">
        <v>13</v>
      </c>
      <c r="E172" s="56">
        <v>24</v>
      </c>
    </row>
    <row r="173" spans="1:5" ht="15" thickBot="1">
      <c r="A173" s="56">
        <v>18</v>
      </c>
      <c r="B173" s="56">
        <v>21</v>
      </c>
      <c r="C173" s="56">
        <v>26</v>
      </c>
      <c r="D173" s="56">
        <v>27</v>
      </c>
      <c r="E173" s="56">
        <v>32</v>
      </c>
    </row>
    <row r="174" spans="1:5" ht="15" thickBot="1">
      <c r="A174" s="56">
        <v>4</v>
      </c>
      <c r="B174" s="56">
        <v>7</v>
      </c>
      <c r="C174" s="56">
        <v>8</v>
      </c>
      <c r="D174" s="56">
        <v>10</v>
      </c>
      <c r="E174" s="56">
        <v>25</v>
      </c>
    </row>
    <row r="175" spans="1:5" ht="15" thickBot="1">
      <c r="A175" s="56">
        <v>2</v>
      </c>
      <c r="B175" s="56">
        <v>18</v>
      </c>
      <c r="C175" s="56">
        <v>20</v>
      </c>
      <c r="D175" s="56">
        <v>21</v>
      </c>
      <c r="E175" s="56">
        <v>34</v>
      </c>
    </row>
    <row r="176" spans="1:5" ht="15" thickBot="1">
      <c r="A176" s="56">
        <v>5</v>
      </c>
      <c r="B176" s="56">
        <v>8</v>
      </c>
      <c r="C176" s="56">
        <v>22</v>
      </c>
      <c r="D176" s="56">
        <v>30</v>
      </c>
      <c r="E176" s="56">
        <v>34</v>
      </c>
    </row>
    <row r="177" spans="1:5" ht="15" thickBot="1">
      <c r="A177" s="56">
        <v>3</v>
      </c>
      <c r="B177" s="56">
        <v>10</v>
      </c>
      <c r="C177" s="56">
        <v>26</v>
      </c>
      <c r="D177" s="56">
        <v>27</v>
      </c>
      <c r="E177" s="56">
        <v>32</v>
      </c>
    </row>
    <row r="178" spans="1:5" ht="15" thickBot="1">
      <c r="A178" s="56">
        <v>1</v>
      </c>
      <c r="B178" s="56">
        <v>7</v>
      </c>
      <c r="C178" s="56">
        <v>9</v>
      </c>
      <c r="D178" s="56">
        <v>12</v>
      </c>
      <c r="E178" s="56">
        <v>18</v>
      </c>
    </row>
    <row r="179" spans="1:5" ht="15" thickBot="1">
      <c r="A179" s="56">
        <v>2</v>
      </c>
      <c r="B179" s="56">
        <v>3</v>
      </c>
      <c r="C179" s="56">
        <v>10</v>
      </c>
      <c r="D179" s="56">
        <v>18</v>
      </c>
      <c r="E179" s="56">
        <v>29</v>
      </c>
    </row>
    <row r="180" spans="1:5" ht="15" thickBot="1">
      <c r="A180" s="56">
        <v>15</v>
      </c>
      <c r="B180" s="56">
        <v>25</v>
      </c>
      <c r="C180" s="56">
        <v>27</v>
      </c>
      <c r="D180" s="56">
        <v>28</v>
      </c>
      <c r="E180" s="56">
        <v>30</v>
      </c>
    </row>
    <row r="181" spans="1:5" ht="15" thickBot="1">
      <c r="A181" s="56">
        <v>5</v>
      </c>
      <c r="B181" s="56">
        <v>6</v>
      </c>
      <c r="C181" s="56">
        <v>10</v>
      </c>
      <c r="D181" s="56">
        <v>15</v>
      </c>
      <c r="E181" s="56">
        <v>26</v>
      </c>
    </row>
    <row r="182" spans="1:5" ht="15" thickBot="1">
      <c r="A182" s="56">
        <v>5</v>
      </c>
      <c r="B182" s="56">
        <v>6</v>
      </c>
      <c r="C182" s="56">
        <v>21</v>
      </c>
      <c r="D182" s="56">
        <v>28</v>
      </c>
      <c r="E182" s="56">
        <v>34</v>
      </c>
    </row>
    <row r="183" spans="1:5" ht="15" thickBot="1">
      <c r="A183" s="56">
        <v>4</v>
      </c>
      <c r="B183" s="56">
        <v>7</v>
      </c>
      <c r="C183" s="56">
        <v>22</v>
      </c>
      <c r="D183" s="56">
        <v>26</v>
      </c>
      <c r="E183" s="56">
        <v>31</v>
      </c>
    </row>
    <row r="184" spans="1:5" ht="15" thickBot="1">
      <c r="A184" s="56">
        <v>2</v>
      </c>
      <c r="B184" s="56">
        <v>4</v>
      </c>
      <c r="C184" s="56">
        <v>13</v>
      </c>
      <c r="D184" s="56">
        <v>17</v>
      </c>
      <c r="E184" s="56">
        <v>28</v>
      </c>
    </row>
    <row r="185" spans="1:5" ht="15" thickBot="1">
      <c r="A185" s="56">
        <v>1</v>
      </c>
      <c r="B185" s="56">
        <v>10</v>
      </c>
      <c r="C185" s="56">
        <v>14</v>
      </c>
      <c r="D185" s="56">
        <v>16</v>
      </c>
      <c r="E185" s="56">
        <v>18</v>
      </c>
    </row>
    <row r="186" spans="1:5" ht="15" thickBot="1">
      <c r="A186" s="56">
        <v>4</v>
      </c>
      <c r="B186" s="56">
        <v>10</v>
      </c>
      <c r="C186" s="56">
        <v>15</v>
      </c>
      <c r="D186" s="56">
        <v>22</v>
      </c>
      <c r="E186" s="56">
        <v>25</v>
      </c>
    </row>
    <row r="187" spans="1:5" ht="15" thickBot="1">
      <c r="A187" s="56">
        <v>10</v>
      </c>
      <c r="B187" s="56">
        <v>12</v>
      </c>
      <c r="C187" s="56">
        <v>24</v>
      </c>
      <c r="D187" s="56">
        <v>28</v>
      </c>
      <c r="E187" s="56">
        <v>33</v>
      </c>
    </row>
    <row r="188" spans="1:5" ht="15" thickBot="1">
      <c r="A188" s="56">
        <v>12</v>
      </c>
      <c r="B188" s="56">
        <v>14</v>
      </c>
      <c r="C188" s="56">
        <v>22</v>
      </c>
      <c r="D188" s="56">
        <v>29</v>
      </c>
      <c r="E188" s="56">
        <v>34</v>
      </c>
    </row>
    <row r="189" spans="1:5" ht="15" thickBot="1">
      <c r="A189" s="56">
        <v>1</v>
      </c>
      <c r="B189" s="56">
        <v>7</v>
      </c>
      <c r="C189" s="56">
        <v>13</v>
      </c>
      <c r="D189" s="56">
        <v>25</v>
      </c>
      <c r="E189" s="56">
        <v>27</v>
      </c>
    </row>
    <row r="190" spans="1:5" ht="15" thickBot="1">
      <c r="A190" s="56">
        <v>7</v>
      </c>
      <c r="B190" s="56">
        <v>18</v>
      </c>
      <c r="C190" s="56">
        <v>21</v>
      </c>
      <c r="D190" s="56">
        <v>24</v>
      </c>
      <c r="E190" s="56">
        <v>34</v>
      </c>
    </row>
    <row r="191" spans="1:5" ht="15" thickBot="1">
      <c r="A191" s="56">
        <v>7</v>
      </c>
      <c r="B191" s="56">
        <v>12</v>
      </c>
      <c r="C191" s="56">
        <v>14</v>
      </c>
      <c r="D191" s="56">
        <v>28</v>
      </c>
      <c r="E191" s="56">
        <v>31</v>
      </c>
    </row>
    <row r="192" spans="1:5" ht="15" thickBot="1">
      <c r="A192" s="56">
        <v>4</v>
      </c>
      <c r="B192" s="56">
        <v>16</v>
      </c>
      <c r="C192" s="56">
        <v>19</v>
      </c>
      <c r="D192" s="56">
        <v>31</v>
      </c>
      <c r="E192" s="56">
        <v>34</v>
      </c>
    </row>
    <row r="193" spans="1:5" ht="15" thickBot="1">
      <c r="A193" s="56">
        <v>6</v>
      </c>
      <c r="B193" s="56">
        <v>13</v>
      </c>
      <c r="C193" s="56">
        <v>15</v>
      </c>
      <c r="D193" s="56">
        <v>22</v>
      </c>
      <c r="E193" s="56">
        <v>23</v>
      </c>
    </row>
    <row r="194" spans="1:5" ht="15" thickBot="1">
      <c r="A194" s="56">
        <v>2</v>
      </c>
      <c r="B194" s="56">
        <v>7</v>
      </c>
      <c r="C194" s="56">
        <v>12</v>
      </c>
      <c r="D194" s="56">
        <v>14</v>
      </c>
      <c r="E194" s="56">
        <v>26</v>
      </c>
    </row>
    <row r="195" spans="1:5" ht="15" thickBot="1">
      <c r="A195" s="56">
        <v>1</v>
      </c>
      <c r="B195" s="56">
        <v>7</v>
      </c>
      <c r="C195" s="56">
        <v>11</v>
      </c>
      <c r="D195" s="56">
        <v>20</v>
      </c>
      <c r="E195" s="56">
        <v>34</v>
      </c>
    </row>
    <row r="196" spans="1:5" ht="15" thickBot="1">
      <c r="A196" s="56">
        <v>3</v>
      </c>
      <c r="B196" s="56">
        <v>7</v>
      </c>
      <c r="C196" s="56">
        <v>17</v>
      </c>
      <c r="D196" s="56">
        <v>18</v>
      </c>
      <c r="E196" s="56">
        <v>31</v>
      </c>
    </row>
    <row r="197" spans="1:5" ht="15" thickBot="1">
      <c r="A197" s="56">
        <v>1</v>
      </c>
      <c r="B197" s="56">
        <v>14</v>
      </c>
      <c r="C197" s="56">
        <v>20</v>
      </c>
      <c r="D197" s="56">
        <v>27</v>
      </c>
      <c r="E197" s="56">
        <v>32</v>
      </c>
    </row>
    <row r="198" spans="1:5" ht="15" thickBot="1">
      <c r="A198" s="56">
        <v>4</v>
      </c>
      <c r="B198" s="56">
        <v>13</v>
      </c>
      <c r="C198" s="56">
        <v>17</v>
      </c>
      <c r="D198" s="56">
        <v>21</v>
      </c>
      <c r="E198" s="56">
        <v>34</v>
      </c>
    </row>
    <row r="199" spans="1:5" ht="15" thickBot="1">
      <c r="A199" s="56">
        <v>6</v>
      </c>
      <c r="B199" s="56">
        <v>9</v>
      </c>
      <c r="C199" s="56">
        <v>28</v>
      </c>
      <c r="D199" s="56">
        <v>33</v>
      </c>
      <c r="E199" s="56">
        <v>34</v>
      </c>
    </row>
    <row r="200" spans="1:5" ht="15" thickBot="1">
      <c r="A200" s="56">
        <v>1</v>
      </c>
      <c r="B200" s="56">
        <v>6</v>
      </c>
      <c r="C200" s="56">
        <v>9</v>
      </c>
      <c r="D200" s="56">
        <v>19</v>
      </c>
      <c r="E200" s="56">
        <v>26</v>
      </c>
    </row>
    <row r="201" spans="1:5" ht="15" thickBot="1">
      <c r="A201" s="56">
        <v>3</v>
      </c>
      <c r="B201" s="56">
        <v>4</v>
      </c>
      <c r="C201" s="56">
        <v>26</v>
      </c>
      <c r="D201" s="56">
        <v>30</v>
      </c>
      <c r="E201" s="56">
        <v>32</v>
      </c>
    </row>
    <row r="202" spans="1:5" ht="15" thickBot="1">
      <c r="A202" s="56">
        <v>3</v>
      </c>
      <c r="B202" s="56">
        <v>8</v>
      </c>
      <c r="C202" s="56">
        <v>21</v>
      </c>
      <c r="D202" s="56">
        <v>29</v>
      </c>
      <c r="E202" s="56">
        <v>33</v>
      </c>
    </row>
    <row r="203" spans="1:5" ht="15" thickBot="1">
      <c r="A203" s="56">
        <v>4</v>
      </c>
      <c r="B203" s="56">
        <v>11</v>
      </c>
      <c r="C203" s="56">
        <v>16</v>
      </c>
      <c r="D203" s="56">
        <v>24</v>
      </c>
      <c r="E203" s="56">
        <v>34</v>
      </c>
    </row>
    <row r="204" spans="1:5" ht="15" thickBot="1">
      <c r="A204" s="56">
        <v>8</v>
      </c>
      <c r="B204" s="56">
        <v>12</v>
      </c>
      <c r="C204" s="56">
        <v>26</v>
      </c>
      <c r="D204" s="56">
        <v>27</v>
      </c>
      <c r="E204" s="56">
        <v>32</v>
      </c>
    </row>
    <row r="205" spans="1:5" ht="15" thickBot="1">
      <c r="A205" s="56">
        <v>4</v>
      </c>
      <c r="B205" s="56">
        <v>5</v>
      </c>
      <c r="C205" s="56">
        <v>8</v>
      </c>
      <c r="D205" s="56">
        <v>27</v>
      </c>
      <c r="E205" s="56">
        <v>33</v>
      </c>
    </row>
    <row r="206" spans="1:5" ht="15" thickBot="1">
      <c r="A206" s="56">
        <v>6</v>
      </c>
      <c r="B206" s="56">
        <v>8</v>
      </c>
      <c r="C206" s="56">
        <v>13</v>
      </c>
      <c r="D206" s="56">
        <v>17</v>
      </c>
      <c r="E206" s="56">
        <v>29</v>
      </c>
    </row>
    <row r="207" spans="1:5" ht="15" thickBot="1">
      <c r="A207" s="56">
        <v>2</v>
      </c>
      <c r="B207" s="56">
        <v>12</v>
      </c>
      <c r="C207" s="56">
        <v>26</v>
      </c>
      <c r="D207" s="56">
        <v>32</v>
      </c>
      <c r="E207" s="56">
        <v>34</v>
      </c>
    </row>
    <row r="208" spans="1:5" ht="15" thickBot="1">
      <c r="A208" s="56">
        <v>3</v>
      </c>
      <c r="B208" s="56">
        <v>8</v>
      </c>
      <c r="C208" s="56">
        <v>12</v>
      </c>
      <c r="D208" s="56">
        <v>18</v>
      </c>
      <c r="E208" s="56">
        <v>27</v>
      </c>
    </row>
    <row r="209" spans="1:5" ht="15" thickBot="1">
      <c r="A209" s="56">
        <v>10</v>
      </c>
      <c r="B209" s="56">
        <v>23</v>
      </c>
      <c r="C209" s="56">
        <v>25</v>
      </c>
      <c r="D209" s="56">
        <v>26</v>
      </c>
      <c r="E209" s="56">
        <v>31</v>
      </c>
    </row>
    <row r="210" spans="1:5" ht="15" thickBot="1">
      <c r="A210" s="56">
        <v>3</v>
      </c>
      <c r="B210" s="56">
        <v>15</v>
      </c>
      <c r="C210" s="56">
        <v>16</v>
      </c>
      <c r="D210" s="56">
        <v>24</v>
      </c>
      <c r="E210" s="56">
        <v>25</v>
      </c>
    </row>
    <row r="211" spans="1:5" ht="15" thickBot="1">
      <c r="A211" s="56">
        <v>9</v>
      </c>
      <c r="B211" s="56">
        <v>13</v>
      </c>
      <c r="C211" s="56">
        <v>23</v>
      </c>
      <c r="D211" s="56">
        <v>26</v>
      </c>
      <c r="E211" s="56">
        <v>33</v>
      </c>
    </row>
    <row r="212" spans="1:5" ht="15" thickBot="1">
      <c r="A212" s="56">
        <v>2</v>
      </c>
      <c r="B212" s="56">
        <v>3</v>
      </c>
      <c r="C212" s="56">
        <v>9</v>
      </c>
      <c r="D212" s="56">
        <v>12</v>
      </c>
      <c r="E212" s="56">
        <v>28</v>
      </c>
    </row>
    <row r="213" spans="1:5" ht="15" thickBot="1">
      <c r="A213" s="56">
        <v>11</v>
      </c>
      <c r="B213" s="56">
        <v>23</v>
      </c>
      <c r="C213" s="56">
        <v>28</v>
      </c>
      <c r="D213" s="56">
        <v>30</v>
      </c>
      <c r="E213" s="56">
        <v>34</v>
      </c>
    </row>
    <row r="214" spans="1:5" ht="15" thickBot="1">
      <c r="A214" s="56">
        <v>1</v>
      </c>
      <c r="B214" s="56">
        <v>14</v>
      </c>
      <c r="C214" s="56">
        <v>24</v>
      </c>
      <c r="D214" s="56">
        <v>25</v>
      </c>
      <c r="E214" s="56">
        <v>26</v>
      </c>
    </row>
    <row r="215" spans="1:5" ht="15" thickBot="1">
      <c r="A215" s="56">
        <v>1</v>
      </c>
      <c r="B215" s="56">
        <v>6</v>
      </c>
      <c r="C215" s="56">
        <v>12</v>
      </c>
      <c r="D215" s="56">
        <v>14</v>
      </c>
      <c r="E215" s="56">
        <v>27</v>
      </c>
    </row>
    <row r="216" spans="1:5" ht="15" thickBot="1">
      <c r="A216" s="56">
        <v>7</v>
      </c>
      <c r="B216" s="56">
        <v>8</v>
      </c>
      <c r="C216" s="56">
        <v>14</v>
      </c>
      <c r="D216" s="56">
        <v>21</v>
      </c>
      <c r="E216" s="56">
        <v>25</v>
      </c>
    </row>
    <row r="217" spans="1:5" ht="15" thickBot="1">
      <c r="A217" s="56">
        <v>1</v>
      </c>
      <c r="B217" s="56">
        <v>7</v>
      </c>
      <c r="C217" s="56">
        <v>8</v>
      </c>
      <c r="D217" s="56">
        <v>11</v>
      </c>
      <c r="E217" s="56">
        <v>29</v>
      </c>
    </row>
    <row r="218" spans="1:5" ht="15" thickBot="1">
      <c r="A218" s="56">
        <v>2</v>
      </c>
      <c r="B218" s="56">
        <v>3</v>
      </c>
      <c r="C218" s="56">
        <v>7</v>
      </c>
      <c r="D218" s="56">
        <v>21</v>
      </c>
      <c r="E218" s="56">
        <v>32</v>
      </c>
    </row>
    <row r="219" spans="1:5" ht="15" thickBot="1">
      <c r="A219" s="56">
        <v>4</v>
      </c>
      <c r="B219" s="56">
        <v>5</v>
      </c>
      <c r="C219" s="56">
        <v>14</v>
      </c>
      <c r="D219" s="56">
        <v>33</v>
      </c>
      <c r="E219" s="56">
        <v>34</v>
      </c>
    </row>
    <row r="220" spans="1:5" ht="15" thickBot="1">
      <c r="A220" s="56">
        <v>3</v>
      </c>
      <c r="B220" s="56">
        <v>8</v>
      </c>
      <c r="C220" s="56">
        <v>10</v>
      </c>
      <c r="D220" s="56">
        <v>25</v>
      </c>
      <c r="E220" s="56">
        <v>29</v>
      </c>
    </row>
    <row r="221" spans="1:5" ht="15" thickBot="1">
      <c r="A221" s="56">
        <v>4</v>
      </c>
      <c r="B221" s="56">
        <v>5</v>
      </c>
      <c r="C221" s="56">
        <v>21</v>
      </c>
      <c r="D221" s="56">
        <v>24</v>
      </c>
      <c r="E221" s="56">
        <v>25</v>
      </c>
    </row>
    <row r="222" spans="1:5" ht="15" thickBot="1">
      <c r="A222" s="56">
        <v>12</v>
      </c>
      <c r="B222" s="56">
        <v>15</v>
      </c>
      <c r="C222" s="56">
        <v>17</v>
      </c>
      <c r="D222" s="56">
        <v>22</v>
      </c>
      <c r="E222" s="56">
        <v>26</v>
      </c>
    </row>
    <row r="223" spans="1:5" ht="15" thickBot="1">
      <c r="A223" s="56">
        <v>13</v>
      </c>
      <c r="B223" s="56">
        <v>17</v>
      </c>
      <c r="C223" s="56">
        <v>20</v>
      </c>
      <c r="D223" s="56">
        <v>21</v>
      </c>
      <c r="E223" s="56">
        <v>30</v>
      </c>
    </row>
    <row r="224" spans="1:5" ht="15" thickBot="1">
      <c r="A224" s="56">
        <v>1</v>
      </c>
      <c r="B224" s="56">
        <v>5</v>
      </c>
      <c r="C224" s="56">
        <v>19</v>
      </c>
      <c r="D224" s="56">
        <v>26</v>
      </c>
      <c r="E224" s="56">
        <v>28</v>
      </c>
    </row>
    <row r="225" spans="1:5" ht="15" thickBot="1">
      <c r="A225" s="56">
        <v>4</v>
      </c>
      <c r="B225" s="56">
        <v>14</v>
      </c>
      <c r="C225" s="56">
        <v>18</v>
      </c>
      <c r="D225" s="56">
        <v>19</v>
      </c>
      <c r="E225" s="56">
        <v>29</v>
      </c>
    </row>
    <row r="226" spans="1:5" ht="15" thickBot="1">
      <c r="A226" s="56">
        <v>10</v>
      </c>
      <c r="B226" s="56">
        <v>17</v>
      </c>
      <c r="C226" s="56">
        <v>21</v>
      </c>
      <c r="D226" s="56">
        <v>26</v>
      </c>
      <c r="E226" s="56">
        <v>29</v>
      </c>
    </row>
    <row r="227" spans="1:5" ht="15" thickBot="1">
      <c r="A227" s="56">
        <v>2</v>
      </c>
      <c r="B227" s="56">
        <v>19</v>
      </c>
      <c r="C227" s="56">
        <v>24</v>
      </c>
      <c r="D227" s="56">
        <v>29</v>
      </c>
      <c r="E227" s="56">
        <v>33</v>
      </c>
    </row>
    <row r="228" spans="1:5" ht="15" thickBot="1">
      <c r="A228" s="56">
        <v>2</v>
      </c>
      <c r="B228" s="56">
        <v>4</v>
      </c>
      <c r="C228" s="56">
        <v>14</v>
      </c>
      <c r="D228" s="56">
        <v>26</v>
      </c>
      <c r="E228" s="56">
        <v>30</v>
      </c>
    </row>
    <row r="229" spans="1:5" ht="15" thickBot="1">
      <c r="A229" s="56">
        <v>1</v>
      </c>
      <c r="B229" s="56">
        <v>4</v>
      </c>
      <c r="C229" s="56">
        <v>6</v>
      </c>
      <c r="D229" s="56">
        <v>16</v>
      </c>
      <c r="E229" s="56">
        <v>31</v>
      </c>
    </row>
    <row r="230" spans="1:5" ht="15" thickBot="1">
      <c r="A230" s="56">
        <v>2</v>
      </c>
      <c r="B230" s="56">
        <v>15</v>
      </c>
      <c r="C230" s="56">
        <v>23</v>
      </c>
      <c r="D230" s="56">
        <v>24</v>
      </c>
      <c r="E230" s="56">
        <v>34</v>
      </c>
    </row>
    <row r="231" spans="1:5" ht="15" thickBot="1">
      <c r="A231" s="56">
        <v>6</v>
      </c>
      <c r="B231" s="56">
        <v>8</v>
      </c>
      <c r="C231" s="56">
        <v>9</v>
      </c>
      <c r="D231" s="56">
        <v>19</v>
      </c>
      <c r="E231" s="56">
        <v>32</v>
      </c>
    </row>
    <row r="232" spans="1:5" ht="15" thickBot="1">
      <c r="A232" s="56">
        <v>11</v>
      </c>
      <c r="B232" s="56">
        <v>14</v>
      </c>
      <c r="C232" s="56">
        <v>15</v>
      </c>
      <c r="D232" s="56">
        <v>21</v>
      </c>
      <c r="E232" s="56">
        <v>24</v>
      </c>
    </row>
    <row r="233" spans="1:5" ht="15" thickBot="1">
      <c r="A233" s="56">
        <v>5</v>
      </c>
      <c r="B233" s="56">
        <v>11</v>
      </c>
      <c r="C233" s="56">
        <v>12</v>
      </c>
      <c r="D233" s="56">
        <v>19</v>
      </c>
      <c r="E233" s="56">
        <v>24</v>
      </c>
    </row>
    <row r="234" spans="1:5" ht="15" thickBot="1">
      <c r="A234" s="56">
        <v>4</v>
      </c>
      <c r="B234" s="56">
        <v>5</v>
      </c>
      <c r="C234" s="56">
        <v>29</v>
      </c>
      <c r="D234" s="56">
        <v>30</v>
      </c>
      <c r="E234" s="56">
        <v>33</v>
      </c>
    </row>
    <row r="235" spans="1:5" ht="15" thickBot="1">
      <c r="A235" s="56">
        <v>4</v>
      </c>
      <c r="B235" s="56">
        <v>13</v>
      </c>
      <c r="C235" s="56">
        <v>29</v>
      </c>
      <c r="D235" s="56">
        <v>31</v>
      </c>
      <c r="E235" s="56">
        <v>33</v>
      </c>
    </row>
    <row r="236" spans="1:5" ht="15" thickBot="1">
      <c r="A236" s="56">
        <v>2</v>
      </c>
      <c r="B236" s="56">
        <v>12</v>
      </c>
      <c r="C236" s="56">
        <v>22</v>
      </c>
      <c r="D236" s="56">
        <v>27</v>
      </c>
      <c r="E236" s="56">
        <v>29</v>
      </c>
    </row>
    <row r="237" spans="1:5" ht="15" thickBot="1">
      <c r="A237" s="56">
        <v>8</v>
      </c>
      <c r="B237" s="56">
        <v>9</v>
      </c>
      <c r="C237" s="56">
        <v>17</v>
      </c>
      <c r="D237" s="56">
        <v>21</v>
      </c>
      <c r="E237" s="56">
        <v>23</v>
      </c>
    </row>
    <row r="238" spans="1:5" ht="15" thickBot="1">
      <c r="A238" s="56">
        <v>8</v>
      </c>
      <c r="B238" s="56">
        <v>10</v>
      </c>
      <c r="C238" s="56">
        <v>11</v>
      </c>
      <c r="D238" s="56">
        <v>13</v>
      </c>
      <c r="E238" s="56">
        <v>22</v>
      </c>
    </row>
    <row r="239" spans="1:5" ht="15" thickBot="1">
      <c r="A239" s="56">
        <v>7</v>
      </c>
      <c r="B239" s="56">
        <v>13</v>
      </c>
      <c r="C239" s="56">
        <v>18</v>
      </c>
      <c r="D239" s="56">
        <v>24</v>
      </c>
      <c r="E239" s="56">
        <v>25</v>
      </c>
    </row>
    <row r="240" spans="1:5" ht="15" thickBot="1">
      <c r="A240" s="56">
        <v>6</v>
      </c>
      <c r="B240" s="56">
        <v>8</v>
      </c>
      <c r="C240" s="56">
        <v>15</v>
      </c>
      <c r="D240" s="56">
        <v>25</v>
      </c>
      <c r="E240" s="56">
        <v>26</v>
      </c>
    </row>
    <row r="241" spans="1:5" ht="15" thickBot="1">
      <c r="A241" s="56">
        <v>7</v>
      </c>
      <c r="B241" s="56">
        <v>14</v>
      </c>
      <c r="C241" s="56">
        <v>19</v>
      </c>
      <c r="D241" s="56">
        <v>21</v>
      </c>
      <c r="E241" s="56">
        <v>32</v>
      </c>
    </row>
    <row r="242" spans="1:5" ht="15" thickBot="1">
      <c r="A242" s="56">
        <v>12</v>
      </c>
      <c r="B242" s="56">
        <v>18</v>
      </c>
      <c r="C242" s="56">
        <v>20</v>
      </c>
      <c r="D242" s="56">
        <v>24</v>
      </c>
      <c r="E242" s="56">
        <v>32</v>
      </c>
    </row>
    <row r="243" spans="1:5" ht="15" thickBot="1">
      <c r="A243" s="56">
        <v>9</v>
      </c>
      <c r="B243" s="56">
        <v>25</v>
      </c>
      <c r="C243" s="56">
        <v>31</v>
      </c>
      <c r="D243" s="56">
        <v>32</v>
      </c>
      <c r="E243" s="56">
        <v>34</v>
      </c>
    </row>
    <row r="244" spans="1:5" ht="15" thickBot="1">
      <c r="A244" s="56">
        <v>1</v>
      </c>
      <c r="B244" s="56">
        <v>8</v>
      </c>
      <c r="C244" s="56">
        <v>10</v>
      </c>
      <c r="D244" s="56">
        <v>23</v>
      </c>
      <c r="E244" s="56">
        <v>27</v>
      </c>
    </row>
    <row r="245" spans="1:5" ht="15" thickBot="1">
      <c r="A245" s="56">
        <v>5</v>
      </c>
      <c r="B245" s="56">
        <v>16</v>
      </c>
      <c r="C245" s="56">
        <v>19</v>
      </c>
      <c r="D245" s="56">
        <v>21</v>
      </c>
      <c r="E245" s="56">
        <v>28</v>
      </c>
    </row>
    <row r="246" spans="1:5" ht="15" thickBot="1">
      <c r="A246" s="56">
        <v>15</v>
      </c>
      <c r="B246" s="56">
        <v>18</v>
      </c>
      <c r="C246" s="56">
        <v>19</v>
      </c>
      <c r="D246" s="56">
        <v>21</v>
      </c>
      <c r="E246" s="56">
        <v>24</v>
      </c>
    </row>
    <row r="247" spans="1:5" ht="15" thickBot="1">
      <c r="A247" s="56">
        <v>2</v>
      </c>
      <c r="B247" s="56">
        <v>10</v>
      </c>
      <c r="C247" s="56">
        <v>14</v>
      </c>
      <c r="D247" s="56">
        <v>15</v>
      </c>
      <c r="E247" s="56">
        <v>20</v>
      </c>
    </row>
    <row r="248" spans="1:5" ht="15" thickBot="1">
      <c r="A248" s="56">
        <v>5</v>
      </c>
      <c r="B248" s="56">
        <v>6</v>
      </c>
      <c r="C248" s="56">
        <v>11</v>
      </c>
      <c r="D248" s="56">
        <v>28</v>
      </c>
      <c r="E248" s="56">
        <v>30</v>
      </c>
    </row>
    <row r="249" spans="1:5" ht="15" thickBot="1">
      <c r="A249" s="56">
        <v>6</v>
      </c>
      <c r="B249" s="56">
        <v>10</v>
      </c>
      <c r="C249" s="56">
        <v>11</v>
      </c>
      <c r="D249" s="56">
        <v>25</v>
      </c>
      <c r="E249" s="56">
        <v>31</v>
      </c>
    </row>
    <row r="250" spans="1:5" ht="15" thickBot="1">
      <c r="A250" s="56">
        <v>8</v>
      </c>
      <c r="B250" s="56">
        <v>13</v>
      </c>
      <c r="C250" s="56">
        <v>15</v>
      </c>
      <c r="D250" s="56">
        <v>19</v>
      </c>
      <c r="E250" s="56">
        <v>24</v>
      </c>
    </row>
    <row r="251" spans="1:5" ht="15" thickBot="1">
      <c r="A251" s="56">
        <v>12</v>
      </c>
      <c r="B251" s="56">
        <v>19</v>
      </c>
      <c r="C251" s="56">
        <v>23</v>
      </c>
      <c r="D251" s="56">
        <v>30</v>
      </c>
      <c r="E251" s="56">
        <v>33</v>
      </c>
    </row>
    <row r="252" spans="1:5" ht="15" thickBot="1">
      <c r="A252" s="56">
        <v>6</v>
      </c>
      <c r="B252" s="56">
        <v>10</v>
      </c>
      <c r="C252" s="56">
        <v>13</v>
      </c>
      <c r="D252" s="56">
        <v>23</v>
      </c>
      <c r="E252" s="56">
        <v>25</v>
      </c>
    </row>
    <row r="253" spans="1:5" ht="15" thickBot="1">
      <c r="A253" s="56">
        <v>10</v>
      </c>
      <c r="B253" s="56">
        <v>12</v>
      </c>
      <c r="C253" s="56">
        <v>15</v>
      </c>
      <c r="D253" s="56">
        <v>25</v>
      </c>
      <c r="E253" s="56">
        <v>29</v>
      </c>
    </row>
    <row r="254" spans="1:5" ht="15" thickBot="1">
      <c r="A254" s="56">
        <v>5</v>
      </c>
      <c r="B254" s="56">
        <v>13</v>
      </c>
      <c r="C254" s="56">
        <v>16</v>
      </c>
      <c r="D254" s="56">
        <v>21</v>
      </c>
      <c r="E254" s="56">
        <v>33</v>
      </c>
    </row>
    <row r="255" spans="1:5" ht="15" thickBot="1">
      <c r="A255" s="56">
        <v>6</v>
      </c>
      <c r="B255" s="56">
        <v>11</v>
      </c>
      <c r="C255" s="56">
        <v>13</v>
      </c>
      <c r="D255" s="56">
        <v>25</v>
      </c>
      <c r="E255" s="56">
        <v>33</v>
      </c>
    </row>
    <row r="256" spans="1:5" ht="15" thickBot="1">
      <c r="A256" s="56">
        <v>1</v>
      </c>
      <c r="B256" s="56">
        <v>12</v>
      </c>
      <c r="C256" s="56">
        <v>16</v>
      </c>
      <c r="D256" s="56">
        <v>21</v>
      </c>
      <c r="E256" s="56">
        <v>22</v>
      </c>
    </row>
    <row r="257" spans="1:5" ht="15" thickBot="1">
      <c r="A257" s="56">
        <v>10</v>
      </c>
      <c r="B257" s="56">
        <v>11</v>
      </c>
      <c r="C257" s="56">
        <v>22</v>
      </c>
      <c r="D257" s="56">
        <v>23</v>
      </c>
      <c r="E257" s="56">
        <v>26</v>
      </c>
    </row>
    <row r="258" spans="1:5" ht="15" thickBot="1">
      <c r="A258" s="56">
        <v>5</v>
      </c>
      <c r="B258" s="56">
        <v>13</v>
      </c>
      <c r="C258" s="56">
        <v>18</v>
      </c>
      <c r="D258" s="56">
        <v>23</v>
      </c>
      <c r="E258" s="56">
        <v>30</v>
      </c>
    </row>
    <row r="259" spans="1:5" ht="15" thickBot="1">
      <c r="A259" s="56">
        <v>17</v>
      </c>
      <c r="B259" s="56">
        <v>20</v>
      </c>
      <c r="C259" s="56">
        <v>21</v>
      </c>
      <c r="D259" s="56">
        <v>22</v>
      </c>
      <c r="E259" s="56">
        <v>30</v>
      </c>
    </row>
    <row r="260" spans="1:5" ht="15" thickBot="1">
      <c r="A260" s="56">
        <v>5</v>
      </c>
      <c r="B260" s="56">
        <v>8</v>
      </c>
      <c r="C260" s="56">
        <v>15</v>
      </c>
      <c r="D260" s="56">
        <v>31</v>
      </c>
      <c r="E260" s="56">
        <v>32</v>
      </c>
    </row>
    <row r="261" spans="1:5" ht="15" thickBot="1">
      <c r="A261" s="56">
        <v>2</v>
      </c>
      <c r="B261" s="56">
        <v>4</v>
      </c>
      <c r="C261" s="56">
        <v>9</v>
      </c>
      <c r="D261" s="56">
        <v>10</v>
      </c>
      <c r="E261" s="56">
        <v>30</v>
      </c>
    </row>
    <row r="262" spans="1:5" ht="15" thickBot="1">
      <c r="A262" s="56">
        <v>2</v>
      </c>
      <c r="B262" s="56">
        <v>17</v>
      </c>
      <c r="C262" s="56">
        <v>20</v>
      </c>
      <c r="D262" s="56">
        <v>32</v>
      </c>
      <c r="E262" s="56">
        <v>34</v>
      </c>
    </row>
    <row r="263" spans="1:5" ht="15" thickBot="1">
      <c r="A263" s="56">
        <v>2</v>
      </c>
      <c r="B263" s="56">
        <v>5</v>
      </c>
      <c r="C263" s="56">
        <v>12</v>
      </c>
      <c r="D263" s="56">
        <v>17</v>
      </c>
      <c r="E263" s="56">
        <v>33</v>
      </c>
    </row>
    <row r="264" spans="1:5" ht="15" thickBot="1">
      <c r="A264" s="56">
        <v>11</v>
      </c>
      <c r="B264" s="56">
        <v>14</v>
      </c>
      <c r="C264" s="56">
        <v>18</v>
      </c>
      <c r="D264" s="56">
        <v>31</v>
      </c>
      <c r="E264" s="56">
        <v>32</v>
      </c>
    </row>
    <row r="265" spans="1:5">
      <c r="A265" s="57">
        <v>6</v>
      </c>
      <c r="B265" s="57">
        <v>19</v>
      </c>
      <c r="C265" s="57">
        <v>24</v>
      </c>
      <c r="D265" s="57">
        <v>26</v>
      </c>
      <c r="E265" s="57">
        <v>29</v>
      </c>
    </row>
    <row r="267" spans="1:5" ht="15" thickBot="1">
      <c r="A267" s="59" t="s">
        <v>125</v>
      </c>
      <c r="B267" s="59" t="s">
        <v>126</v>
      </c>
      <c r="C267" s="59" t="s">
        <v>127</v>
      </c>
      <c r="D267" s="59" t="s">
        <v>128</v>
      </c>
      <c r="E267" s="59" t="s">
        <v>129</v>
      </c>
    </row>
    <row r="268" spans="1:5" ht="15" thickBot="1">
      <c r="A268" s="56">
        <v>5</v>
      </c>
      <c r="B268" s="56">
        <v>6</v>
      </c>
      <c r="C268" s="56">
        <v>23</v>
      </c>
      <c r="D268" s="56">
        <v>25</v>
      </c>
      <c r="E268" s="56">
        <v>34</v>
      </c>
    </row>
    <row r="269" spans="1:5" ht="15" thickBot="1">
      <c r="A269" s="56">
        <v>44</v>
      </c>
      <c r="B269" s="56">
        <v>7</v>
      </c>
      <c r="C269" s="56">
        <v>14</v>
      </c>
      <c r="D269" s="56">
        <v>17</v>
      </c>
      <c r="E269" s="56">
        <v>28</v>
      </c>
    </row>
    <row r="270" spans="1:5" ht="15" thickBot="1">
      <c r="A270" s="56">
        <v>6</v>
      </c>
      <c r="B270" s="56">
        <v>11</v>
      </c>
      <c r="C270" s="56">
        <v>15</v>
      </c>
      <c r="D270" s="56">
        <v>26</v>
      </c>
      <c r="E270" s="56">
        <v>33</v>
      </c>
    </row>
    <row r="271" spans="1:5" ht="15" thickBot="1">
      <c r="A271" s="56">
        <v>8</v>
      </c>
      <c r="B271" s="56">
        <v>12</v>
      </c>
      <c r="C271" s="56">
        <v>17</v>
      </c>
      <c r="D271" s="56">
        <v>21</v>
      </c>
      <c r="E271" s="56">
        <v>29</v>
      </c>
    </row>
    <row r="272" spans="1:5" ht="15" thickBot="1">
      <c r="A272" s="56">
        <v>6</v>
      </c>
      <c r="B272" s="56">
        <v>11</v>
      </c>
      <c r="C272" s="56">
        <v>16</v>
      </c>
      <c r="D272" s="56">
        <v>22</v>
      </c>
      <c r="E272" s="56">
        <v>29</v>
      </c>
    </row>
    <row r="273" spans="1:5" ht="15" thickBot="1">
      <c r="A273" s="56">
        <v>4</v>
      </c>
      <c r="B273" s="56">
        <v>8</v>
      </c>
      <c r="C273" s="56">
        <v>16</v>
      </c>
      <c r="D273" s="56">
        <v>21</v>
      </c>
      <c r="E273" s="56">
        <v>26</v>
      </c>
    </row>
    <row r="274" spans="1:5" ht="15" thickBot="1">
      <c r="A274" s="56">
        <v>6</v>
      </c>
      <c r="B274" s="56">
        <v>15</v>
      </c>
      <c r="C274" s="56">
        <v>18</v>
      </c>
      <c r="D274" s="56">
        <v>27</v>
      </c>
      <c r="E274" s="56">
        <v>30</v>
      </c>
    </row>
    <row r="275" spans="1:5" ht="15" thickBot="1">
      <c r="A275" s="56">
        <v>8</v>
      </c>
      <c r="B275" s="56">
        <v>21</v>
      </c>
      <c r="C275" s="56">
        <v>23</v>
      </c>
      <c r="D275" s="56">
        <v>25</v>
      </c>
      <c r="E275" s="56">
        <v>27</v>
      </c>
    </row>
    <row r="276" spans="1:5" ht="15" thickBot="1">
      <c r="A276" s="56">
        <v>2</v>
      </c>
      <c r="B276" s="56">
        <v>13</v>
      </c>
      <c r="C276" s="56">
        <v>17</v>
      </c>
      <c r="D276" s="56">
        <v>26</v>
      </c>
      <c r="E276" s="56">
        <v>27</v>
      </c>
    </row>
    <row r="277" spans="1:5" ht="15" thickBot="1">
      <c r="A277" s="56">
        <v>15</v>
      </c>
      <c r="B277" s="56">
        <v>18</v>
      </c>
      <c r="C277" s="56">
        <v>20</v>
      </c>
      <c r="D277" s="56">
        <v>23</v>
      </c>
      <c r="E277" s="56">
        <v>29</v>
      </c>
    </row>
    <row r="278" spans="1:5" ht="15" thickBot="1">
      <c r="A278" s="56">
        <v>7</v>
      </c>
      <c r="B278" s="56">
        <v>9</v>
      </c>
      <c r="C278" s="56">
        <v>18</v>
      </c>
      <c r="D278" s="56">
        <v>24</v>
      </c>
      <c r="E278" s="56">
        <v>34</v>
      </c>
    </row>
    <row r="279" spans="1:5" ht="15" thickBot="1">
      <c r="A279" s="56">
        <v>14</v>
      </c>
      <c r="B279" s="56">
        <v>16</v>
      </c>
      <c r="C279" s="56">
        <v>18</v>
      </c>
      <c r="D279" s="56">
        <v>19</v>
      </c>
      <c r="E279" s="56">
        <v>20</v>
      </c>
    </row>
    <row r="280" spans="1:5" ht="15" thickBot="1">
      <c r="A280" s="56">
        <v>1</v>
      </c>
      <c r="B280" s="56">
        <v>16</v>
      </c>
      <c r="C280" s="56">
        <v>22</v>
      </c>
      <c r="D280" s="56">
        <v>23</v>
      </c>
      <c r="E280" s="56">
        <v>34</v>
      </c>
    </row>
    <row r="281" spans="1:5" ht="15" thickBot="1">
      <c r="A281" s="56">
        <v>2</v>
      </c>
      <c r="B281" s="56">
        <v>16</v>
      </c>
      <c r="C281" s="56">
        <v>17</v>
      </c>
      <c r="D281" s="56">
        <v>22</v>
      </c>
      <c r="E281" s="56">
        <v>33</v>
      </c>
    </row>
    <row r="282" spans="1:5" ht="15" thickBot="1">
      <c r="A282" s="56">
        <v>3</v>
      </c>
      <c r="B282" s="56">
        <v>7</v>
      </c>
      <c r="C282" s="56">
        <v>18</v>
      </c>
      <c r="D282" s="56">
        <v>20</v>
      </c>
      <c r="E282" s="56">
        <v>25</v>
      </c>
    </row>
    <row r="283" spans="1:5" ht="15" thickBot="1">
      <c r="A283" s="56">
        <v>5</v>
      </c>
      <c r="B283" s="56">
        <v>7</v>
      </c>
      <c r="C283" s="56">
        <v>13</v>
      </c>
      <c r="D283" s="56">
        <v>14</v>
      </c>
      <c r="E283" s="56">
        <v>22</v>
      </c>
    </row>
    <row r="284" spans="1:5" ht="15" thickBot="1">
      <c r="A284" s="56">
        <v>7</v>
      </c>
      <c r="B284" s="56">
        <v>12</v>
      </c>
      <c r="C284" s="56">
        <v>15</v>
      </c>
      <c r="D284" s="56">
        <v>17</v>
      </c>
      <c r="E284" s="56">
        <v>22</v>
      </c>
    </row>
    <row r="285" spans="1:5" ht="15" thickBot="1">
      <c r="A285" s="56">
        <v>12</v>
      </c>
      <c r="B285" s="56">
        <v>14</v>
      </c>
      <c r="C285" s="56">
        <v>19</v>
      </c>
      <c r="D285" s="56">
        <v>32</v>
      </c>
      <c r="E285" s="56">
        <v>34</v>
      </c>
    </row>
    <row r="286" spans="1:5" ht="15" thickBot="1">
      <c r="A286" s="56">
        <v>5</v>
      </c>
      <c r="B286" s="56">
        <v>7</v>
      </c>
      <c r="C286" s="56">
        <v>16</v>
      </c>
      <c r="D286" s="56">
        <v>26</v>
      </c>
      <c r="E286" s="56">
        <v>31</v>
      </c>
    </row>
    <row r="287" spans="1:5" ht="15" thickBot="1">
      <c r="A287" s="56">
        <v>6</v>
      </c>
      <c r="B287" s="56">
        <v>10</v>
      </c>
      <c r="C287" s="56">
        <v>19</v>
      </c>
      <c r="D287" s="56">
        <v>24</v>
      </c>
      <c r="E287" s="56">
        <v>26</v>
      </c>
    </row>
    <row r="288" spans="1:5" ht="15" thickBot="1">
      <c r="A288" s="56">
        <v>17</v>
      </c>
      <c r="B288" s="56">
        <v>19</v>
      </c>
      <c r="C288" s="56">
        <v>24</v>
      </c>
      <c r="D288" s="56">
        <v>29</v>
      </c>
      <c r="E288" s="56">
        <v>30</v>
      </c>
    </row>
    <row r="289" spans="1:5" ht="15" thickBot="1">
      <c r="A289" s="56">
        <v>7</v>
      </c>
      <c r="B289" s="56">
        <v>9</v>
      </c>
      <c r="C289" s="56">
        <v>11</v>
      </c>
      <c r="D289" s="56">
        <v>29</v>
      </c>
      <c r="E289" s="56">
        <v>31</v>
      </c>
    </row>
    <row r="290" spans="1:5" ht="15" thickBot="1">
      <c r="A290" s="56">
        <v>3</v>
      </c>
      <c r="B290" s="56">
        <v>8</v>
      </c>
      <c r="C290" s="56">
        <v>17</v>
      </c>
      <c r="D290" s="56">
        <v>32</v>
      </c>
      <c r="E290" s="56">
        <v>34</v>
      </c>
    </row>
    <row r="291" spans="1:5" ht="15" thickBot="1">
      <c r="A291" s="56">
        <v>1</v>
      </c>
      <c r="B291" s="56">
        <v>2</v>
      </c>
      <c r="C291" s="56">
        <v>29</v>
      </c>
      <c r="D291" s="56">
        <v>30</v>
      </c>
      <c r="E291" s="56">
        <v>32</v>
      </c>
    </row>
    <row r="292" spans="1:5" ht="15" thickBot="1">
      <c r="A292" s="56">
        <v>2</v>
      </c>
      <c r="B292" s="56">
        <v>4</v>
      </c>
      <c r="C292" s="56">
        <v>12</v>
      </c>
      <c r="D292" s="56">
        <v>17</v>
      </c>
      <c r="E292" s="56">
        <v>21</v>
      </c>
    </row>
    <row r="293" spans="1:5" ht="15" thickBot="1">
      <c r="A293" s="56">
        <v>3</v>
      </c>
      <c r="B293" s="56">
        <v>20</v>
      </c>
      <c r="C293" s="56">
        <v>23</v>
      </c>
      <c r="D293" s="56">
        <v>26</v>
      </c>
      <c r="E293" s="56">
        <v>31</v>
      </c>
    </row>
    <row r="294" spans="1:5" ht="15" thickBot="1">
      <c r="A294" s="56">
        <v>1</v>
      </c>
      <c r="B294" s="56">
        <v>10</v>
      </c>
      <c r="C294" s="56">
        <v>25</v>
      </c>
      <c r="D294" s="56">
        <v>29</v>
      </c>
      <c r="E294" s="56">
        <v>33</v>
      </c>
    </row>
    <row r="295" spans="1:5" ht="15" thickBot="1">
      <c r="A295" s="56">
        <v>17</v>
      </c>
      <c r="B295" s="56">
        <v>20</v>
      </c>
      <c r="C295" s="56">
        <v>21</v>
      </c>
      <c r="D295" s="56">
        <v>26</v>
      </c>
      <c r="E295" s="56">
        <v>33</v>
      </c>
    </row>
    <row r="296" spans="1:5" ht="15" thickBot="1">
      <c r="A296" s="56">
        <v>12</v>
      </c>
      <c r="B296" s="56">
        <v>22</v>
      </c>
      <c r="C296" s="56">
        <v>24</v>
      </c>
      <c r="D296" s="56">
        <v>29</v>
      </c>
      <c r="E296" s="56">
        <v>32</v>
      </c>
    </row>
    <row r="297" spans="1:5" ht="15" thickBot="1">
      <c r="A297" s="56">
        <v>8</v>
      </c>
      <c r="B297" s="56">
        <v>10</v>
      </c>
      <c r="C297" s="56">
        <v>19</v>
      </c>
      <c r="D297" s="56">
        <v>23</v>
      </c>
      <c r="E297" s="56">
        <v>33</v>
      </c>
    </row>
    <row r="298" spans="1:5" ht="15" thickBot="1">
      <c r="A298" s="56">
        <v>1</v>
      </c>
      <c r="B298" s="56">
        <v>4</v>
      </c>
      <c r="C298" s="56">
        <v>15</v>
      </c>
      <c r="D298" s="56">
        <v>25</v>
      </c>
      <c r="E298" s="56">
        <v>30</v>
      </c>
    </row>
    <row r="299" spans="1:5" ht="15" thickBot="1">
      <c r="A299" s="56">
        <v>21</v>
      </c>
      <c r="B299" s="56">
        <v>22</v>
      </c>
      <c r="C299" s="56">
        <v>26</v>
      </c>
      <c r="D299" s="56">
        <v>27</v>
      </c>
      <c r="E299" s="56">
        <v>28</v>
      </c>
    </row>
    <row r="300" spans="1:5" ht="15" thickBot="1">
      <c r="A300" s="56">
        <v>6</v>
      </c>
      <c r="B300" s="56">
        <v>14</v>
      </c>
      <c r="C300" s="56">
        <v>21</v>
      </c>
      <c r="D300" s="56">
        <v>25</v>
      </c>
      <c r="E300" s="56">
        <v>26</v>
      </c>
    </row>
    <row r="301" spans="1:5" ht="15" thickBot="1">
      <c r="A301" s="56">
        <v>7</v>
      </c>
      <c r="B301" s="56">
        <v>12</v>
      </c>
      <c r="C301" s="56">
        <v>15</v>
      </c>
      <c r="D301" s="56">
        <v>22</v>
      </c>
      <c r="E301" s="56">
        <v>31</v>
      </c>
    </row>
    <row r="302" spans="1:5" ht="15" thickBot="1">
      <c r="A302" s="56">
        <v>6</v>
      </c>
      <c r="B302" s="56">
        <v>18</v>
      </c>
      <c r="C302" s="56">
        <v>19</v>
      </c>
      <c r="D302" s="56">
        <v>20</v>
      </c>
      <c r="E302" s="56">
        <v>29</v>
      </c>
    </row>
    <row r="303" spans="1:5" ht="15" thickBot="1">
      <c r="A303" s="56">
        <v>14</v>
      </c>
      <c r="B303" s="56">
        <v>23</v>
      </c>
      <c r="C303" s="56">
        <v>29</v>
      </c>
      <c r="D303" s="56">
        <v>33</v>
      </c>
      <c r="E303" s="56">
        <v>34</v>
      </c>
    </row>
    <row r="304" spans="1:5" ht="15" thickBot="1">
      <c r="A304" s="56">
        <v>2</v>
      </c>
      <c r="B304" s="56">
        <v>15</v>
      </c>
      <c r="C304" s="56">
        <v>24</v>
      </c>
      <c r="D304" s="56">
        <v>28</v>
      </c>
      <c r="E304" s="56">
        <v>29</v>
      </c>
    </row>
    <row r="305" spans="1:5" ht="15" thickBot="1">
      <c r="A305" s="56">
        <v>6</v>
      </c>
      <c r="B305" s="56">
        <v>8</v>
      </c>
      <c r="C305" s="56">
        <v>9</v>
      </c>
      <c r="D305" s="56">
        <v>26</v>
      </c>
      <c r="E305" s="56">
        <v>34</v>
      </c>
    </row>
    <row r="306" spans="1:5" ht="15" thickBot="1">
      <c r="A306" s="56">
        <v>3</v>
      </c>
      <c r="B306" s="56">
        <v>7</v>
      </c>
      <c r="C306" s="56">
        <v>16</v>
      </c>
      <c r="D306" s="56">
        <v>18</v>
      </c>
      <c r="E306" s="56">
        <v>31</v>
      </c>
    </row>
    <row r="307" spans="1:5" ht="15" thickBot="1">
      <c r="A307" s="56">
        <v>9</v>
      </c>
      <c r="B307" s="56">
        <v>17</v>
      </c>
      <c r="C307" s="56">
        <v>23</v>
      </c>
      <c r="D307" s="56">
        <v>24</v>
      </c>
      <c r="E307" s="56">
        <v>29</v>
      </c>
    </row>
    <row r="308" spans="1:5" ht="15" thickBot="1">
      <c r="A308" s="56">
        <v>4</v>
      </c>
      <c r="B308" s="56">
        <v>16</v>
      </c>
      <c r="C308" s="56">
        <v>17</v>
      </c>
      <c r="D308" s="56">
        <v>26</v>
      </c>
      <c r="E308" s="56">
        <v>28</v>
      </c>
    </row>
    <row r="309" spans="1:5" ht="15" thickBot="1">
      <c r="A309" s="56">
        <v>1</v>
      </c>
      <c r="B309" s="56">
        <v>2</v>
      </c>
      <c r="C309" s="56">
        <v>10</v>
      </c>
      <c r="D309" s="56">
        <v>28</v>
      </c>
      <c r="E309" s="56">
        <v>33</v>
      </c>
    </row>
    <row r="310" spans="1:5" ht="15" thickBot="1">
      <c r="A310" s="56">
        <v>3</v>
      </c>
      <c r="B310" s="56">
        <v>10</v>
      </c>
      <c r="C310" s="56">
        <v>15</v>
      </c>
      <c r="D310" s="56">
        <v>18</v>
      </c>
      <c r="E310" s="56">
        <v>32</v>
      </c>
    </row>
    <row r="311" spans="1:5" ht="15" thickBot="1">
      <c r="A311" s="56">
        <v>4</v>
      </c>
      <c r="B311" s="56">
        <v>8</v>
      </c>
      <c r="C311" s="56">
        <v>16</v>
      </c>
      <c r="D311" s="56">
        <v>30</v>
      </c>
      <c r="E311" s="56">
        <v>33</v>
      </c>
    </row>
    <row r="312" spans="1:5" ht="15" thickBot="1">
      <c r="A312" s="56">
        <v>1</v>
      </c>
      <c r="B312" s="56">
        <v>8</v>
      </c>
      <c r="C312" s="56">
        <v>19</v>
      </c>
      <c r="D312" s="56">
        <v>26</v>
      </c>
      <c r="E312" s="56">
        <v>32</v>
      </c>
    </row>
    <row r="313" spans="1:5" ht="15" thickBot="1">
      <c r="A313" s="56">
        <v>5</v>
      </c>
      <c r="B313" s="56">
        <v>14</v>
      </c>
      <c r="C313" s="56">
        <v>16</v>
      </c>
      <c r="D313" s="56">
        <v>20</v>
      </c>
      <c r="E313" s="56">
        <v>30</v>
      </c>
    </row>
    <row r="314" spans="1:5" ht="15" thickBot="1">
      <c r="A314" s="56">
        <v>9</v>
      </c>
      <c r="B314" s="56">
        <v>14</v>
      </c>
      <c r="C314" s="56">
        <v>21</v>
      </c>
      <c r="D314" s="56">
        <v>26</v>
      </c>
      <c r="E314" s="56">
        <v>28</v>
      </c>
    </row>
    <row r="315" spans="1:5" ht="15" thickBot="1">
      <c r="A315" s="56">
        <v>2</v>
      </c>
      <c r="B315" s="56">
        <v>7</v>
      </c>
      <c r="C315" s="56">
        <v>13</v>
      </c>
      <c r="D315" s="56">
        <v>15</v>
      </c>
      <c r="E315" s="56">
        <v>23</v>
      </c>
    </row>
    <row r="316" spans="1:5" ht="15" thickBot="1">
      <c r="A316" s="56">
        <v>2</v>
      </c>
      <c r="B316" s="56">
        <v>13</v>
      </c>
      <c r="C316" s="56">
        <v>18</v>
      </c>
      <c r="D316" s="56">
        <v>23</v>
      </c>
      <c r="E316" s="56">
        <v>24</v>
      </c>
    </row>
    <row r="317" spans="1:5" ht="15" thickBot="1">
      <c r="A317" s="56">
        <v>9</v>
      </c>
      <c r="B317" s="56">
        <v>13</v>
      </c>
      <c r="C317" s="56">
        <v>15</v>
      </c>
      <c r="D317" s="56">
        <v>17</v>
      </c>
      <c r="E317" s="56">
        <v>32</v>
      </c>
    </row>
    <row r="318" spans="1:5" ht="15" thickBot="1">
      <c r="A318" s="56">
        <v>6</v>
      </c>
      <c r="B318" s="56">
        <v>9</v>
      </c>
      <c r="C318" s="56">
        <v>10</v>
      </c>
      <c r="D318" s="56">
        <v>15</v>
      </c>
      <c r="E318" s="56">
        <v>26</v>
      </c>
    </row>
    <row r="319" spans="1:5" ht="15" thickBot="1">
      <c r="A319" s="56">
        <v>16</v>
      </c>
      <c r="B319" s="56">
        <v>17</v>
      </c>
      <c r="C319" s="56">
        <v>18</v>
      </c>
      <c r="D319" s="56">
        <v>20</v>
      </c>
      <c r="E319" s="56">
        <v>22</v>
      </c>
    </row>
    <row r="320" spans="1:5" ht="15" thickBot="1">
      <c r="A320" s="56">
        <v>2</v>
      </c>
      <c r="B320" s="56">
        <v>5</v>
      </c>
      <c r="C320" s="56">
        <v>8</v>
      </c>
      <c r="D320" s="56">
        <v>11</v>
      </c>
      <c r="E320" s="56">
        <v>14</v>
      </c>
    </row>
    <row r="321" spans="1:5" ht="15" thickBot="1">
      <c r="A321" s="56">
        <v>11</v>
      </c>
      <c r="B321" s="56">
        <v>13</v>
      </c>
      <c r="C321" s="56">
        <v>18</v>
      </c>
      <c r="D321" s="56">
        <v>21</v>
      </c>
      <c r="E321" s="56">
        <v>32</v>
      </c>
    </row>
    <row r="322" spans="1:5" ht="15" thickBot="1">
      <c r="A322" s="56">
        <v>4</v>
      </c>
      <c r="B322" s="56">
        <v>9</v>
      </c>
      <c r="C322" s="56">
        <v>16</v>
      </c>
      <c r="D322" s="56">
        <v>22</v>
      </c>
      <c r="E322" s="56">
        <v>32</v>
      </c>
    </row>
    <row r="323" spans="1:5" ht="15" thickBot="1">
      <c r="A323" s="56">
        <v>8</v>
      </c>
      <c r="B323" s="56">
        <v>15</v>
      </c>
      <c r="C323" s="56">
        <v>19</v>
      </c>
      <c r="D323" s="56">
        <v>23</v>
      </c>
      <c r="E323" s="56">
        <v>29</v>
      </c>
    </row>
    <row r="324" spans="1:5" ht="15" thickBot="1">
      <c r="A324" s="56">
        <v>2</v>
      </c>
      <c r="B324" s="56">
        <v>5</v>
      </c>
      <c r="C324" s="56">
        <v>10</v>
      </c>
      <c r="D324" s="56">
        <v>11</v>
      </c>
      <c r="E324" s="56">
        <v>27</v>
      </c>
    </row>
    <row r="325" spans="1:5" ht="15" thickBot="1">
      <c r="A325" s="56">
        <v>8</v>
      </c>
      <c r="B325" s="56">
        <v>9</v>
      </c>
      <c r="C325" s="56">
        <v>15</v>
      </c>
      <c r="D325" s="56">
        <v>25</v>
      </c>
      <c r="E325" s="56">
        <v>27</v>
      </c>
    </row>
    <row r="326" spans="1:5" ht="15" thickBot="1">
      <c r="A326" s="56">
        <v>12</v>
      </c>
      <c r="B326" s="56">
        <v>13</v>
      </c>
      <c r="C326" s="56">
        <v>14</v>
      </c>
      <c r="D326" s="56">
        <v>17</v>
      </c>
      <c r="E326" s="56">
        <v>25</v>
      </c>
    </row>
    <row r="327" spans="1:5" ht="15" thickBot="1">
      <c r="A327" s="56">
        <v>5</v>
      </c>
      <c r="B327" s="56">
        <v>7</v>
      </c>
      <c r="C327" s="56">
        <v>14</v>
      </c>
      <c r="D327" s="56">
        <v>15</v>
      </c>
      <c r="E327" s="56">
        <v>25</v>
      </c>
    </row>
    <row r="328" spans="1:5" ht="15" thickBot="1">
      <c r="A328" s="56">
        <v>4</v>
      </c>
      <c r="B328" s="56">
        <v>6</v>
      </c>
      <c r="C328" s="56">
        <v>7</v>
      </c>
      <c r="D328" s="56">
        <v>12</v>
      </c>
      <c r="E328" s="56">
        <v>29</v>
      </c>
    </row>
    <row r="329" spans="1:5" ht="15" thickBot="1">
      <c r="A329" s="56">
        <v>3</v>
      </c>
      <c r="B329" s="56">
        <v>14</v>
      </c>
      <c r="C329" s="56">
        <v>28</v>
      </c>
      <c r="D329" s="56">
        <v>31</v>
      </c>
      <c r="E329" s="56">
        <v>32</v>
      </c>
    </row>
    <row r="330" spans="1:5" ht="15" thickBot="1">
      <c r="A330" s="56">
        <v>8</v>
      </c>
      <c r="B330" s="56">
        <v>17</v>
      </c>
      <c r="C330" s="56">
        <v>23</v>
      </c>
      <c r="D330" s="56">
        <v>29</v>
      </c>
      <c r="E330" s="56">
        <v>31</v>
      </c>
    </row>
    <row r="331" spans="1:5" ht="15" thickBot="1">
      <c r="A331" s="56">
        <v>5</v>
      </c>
      <c r="B331" s="56">
        <v>10</v>
      </c>
      <c r="C331" s="56">
        <v>24</v>
      </c>
      <c r="D331" s="56">
        <v>25</v>
      </c>
      <c r="E331" s="56">
        <v>29</v>
      </c>
    </row>
    <row r="332" spans="1:5" ht="15" thickBot="1">
      <c r="A332" s="56">
        <v>5</v>
      </c>
      <c r="B332" s="56">
        <v>13</v>
      </c>
      <c r="C332" s="56">
        <v>17</v>
      </c>
      <c r="D332" s="56">
        <v>18</v>
      </c>
      <c r="E332" s="56">
        <v>20</v>
      </c>
    </row>
    <row r="333" spans="1:5" ht="15" thickBot="1">
      <c r="A333" s="56">
        <v>14</v>
      </c>
      <c r="B333" s="56">
        <v>21</v>
      </c>
      <c r="C333" s="56">
        <v>22</v>
      </c>
      <c r="D333" s="56">
        <v>25</v>
      </c>
      <c r="E333" s="56">
        <v>29</v>
      </c>
    </row>
    <row r="334" spans="1:5" ht="15" thickBot="1">
      <c r="A334" s="56">
        <v>9</v>
      </c>
      <c r="B334" s="56">
        <v>12</v>
      </c>
      <c r="C334" s="56">
        <v>17</v>
      </c>
      <c r="D334" s="56">
        <v>23</v>
      </c>
      <c r="E334" s="56">
        <v>33</v>
      </c>
    </row>
    <row r="335" spans="1:5" ht="15" thickBot="1">
      <c r="A335" s="56">
        <v>6</v>
      </c>
      <c r="B335" s="56">
        <v>7</v>
      </c>
      <c r="C335" s="56">
        <v>13</v>
      </c>
      <c r="D335" s="56">
        <v>27</v>
      </c>
      <c r="E335" s="56">
        <v>30</v>
      </c>
    </row>
    <row r="336" spans="1:5" ht="15" thickBot="1">
      <c r="A336" s="56">
        <v>10</v>
      </c>
      <c r="B336" s="56">
        <v>20</v>
      </c>
      <c r="C336" s="56">
        <v>26</v>
      </c>
      <c r="D336" s="56">
        <v>27</v>
      </c>
      <c r="E336" s="56">
        <v>34</v>
      </c>
    </row>
    <row r="337" spans="1:5" ht="15" thickBot="1">
      <c r="A337" s="56">
        <v>11</v>
      </c>
      <c r="B337" s="56">
        <v>18</v>
      </c>
      <c r="C337" s="56">
        <v>25</v>
      </c>
      <c r="D337" s="56">
        <v>26</v>
      </c>
      <c r="E337" s="56">
        <v>29</v>
      </c>
    </row>
    <row r="338" spans="1:5" ht="15" thickBot="1">
      <c r="A338" s="56">
        <v>7</v>
      </c>
      <c r="B338" s="56">
        <v>11</v>
      </c>
      <c r="C338" s="56">
        <v>13</v>
      </c>
      <c r="D338" s="56">
        <v>14</v>
      </c>
      <c r="E338" s="56">
        <v>24</v>
      </c>
    </row>
    <row r="339" spans="1:5" ht="15" thickBot="1">
      <c r="A339" s="56">
        <v>11</v>
      </c>
      <c r="B339" s="56">
        <v>13</v>
      </c>
      <c r="C339" s="56">
        <v>23</v>
      </c>
      <c r="D339" s="56">
        <v>24</v>
      </c>
      <c r="E339" s="56">
        <v>33</v>
      </c>
    </row>
    <row r="340" spans="1:5" ht="15" thickBot="1">
      <c r="A340" s="56">
        <v>9</v>
      </c>
      <c r="B340" s="56">
        <v>22</v>
      </c>
      <c r="C340" s="56">
        <v>26</v>
      </c>
      <c r="D340" s="56">
        <v>27</v>
      </c>
      <c r="E340" s="56">
        <v>28</v>
      </c>
    </row>
    <row r="341" spans="1:5" ht="15" thickBot="1">
      <c r="A341" s="56">
        <v>4</v>
      </c>
      <c r="B341" s="56">
        <v>5</v>
      </c>
      <c r="C341" s="56">
        <v>17</v>
      </c>
      <c r="D341" s="56">
        <v>28</v>
      </c>
      <c r="E341" s="56">
        <v>32</v>
      </c>
    </row>
    <row r="342" spans="1:5" ht="15" thickBot="1">
      <c r="A342" s="56">
        <v>9</v>
      </c>
      <c r="B342" s="56">
        <v>10</v>
      </c>
      <c r="C342" s="56">
        <v>25</v>
      </c>
      <c r="D342" s="56">
        <v>30</v>
      </c>
      <c r="E342" s="56">
        <v>33</v>
      </c>
    </row>
    <row r="343" spans="1:5" ht="15" thickBot="1">
      <c r="A343" s="56">
        <v>9</v>
      </c>
      <c r="B343" s="56">
        <v>12</v>
      </c>
      <c r="C343" s="56">
        <v>17</v>
      </c>
      <c r="D343" s="56">
        <v>33</v>
      </c>
      <c r="E343" s="56">
        <v>34</v>
      </c>
    </row>
    <row r="344" spans="1:5" ht="15" thickBot="1">
      <c r="A344" s="56">
        <v>2</v>
      </c>
      <c r="B344" s="56">
        <v>3</v>
      </c>
      <c r="C344" s="56">
        <v>4</v>
      </c>
      <c r="D344" s="56">
        <v>6</v>
      </c>
      <c r="E344" s="56">
        <v>7</v>
      </c>
    </row>
    <row r="345" spans="1:5" ht="15" thickBot="1">
      <c r="A345" s="56">
        <v>4</v>
      </c>
      <c r="B345" s="56">
        <v>8</v>
      </c>
      <c r="C345" s="56">
        <v>9</v>
      </c>
      <c r="D345" s="56">
        <v>21</v>
      </c>
      <c r="E345" s="56">
        <v>31</v>
      </c>
    </row>
    <row r="346" spans="1:5" ht="15" thickBot="1">
      <c r="A346" s="56">
        <v>12</v>
      </c>
      <c r="B346" s="56">
        <v>17</v>
      </c>
      <c r="C346" s="56">
        <v>23</v>
      </c>
      <c r="D346" s="56">
        <v>28</v>
      </c>
      <c r="E346" s="56">
        <v>33</v>
      </c>
    </row>
    <row r="347" spans="1:5" ht="15" thickBot="1">
      <c r="A347" s="56">
        <v>11</v>
      </c>
      <c r="B347" s="56">
        <v>13</v>
      </c>
      <c r="C347" s="56">
        <v>30</v>
      </c>
      <c r="D347" s="56">
        <v>31</v>
      </c>
      <c r="E347" s="56">
        <v>34</v>
      </c>
    </row>
    <row r="348" spans="1:5" ht="15" thickBot="1">
      <c r="A348" s="56">
        <v>5</v>
      </c>
      <c r="B348" s="56">
        <v>14</v>
      </c>
      <c r="C348" s="56">
        <v>25</v>
      </c>
      <c r="D348" s="56">
        <v>29</v>
      </c>
      <c r="E348" s="56">
        <v>33</v>
      </c>
    </row>
    <row r="349" spans="1:5" ht="15" thickBot="1">
      <c r="A349" s="56">
        <v>5</v>
      </c>
      <c r="B349" s="56">
        <v>6</v>
      </c>
      <c r="C349" s="56">
        <v>20</v>
      </c>
      <c r="D349" s="56">
        <v>26</v>
      </c>
      <c r="E349" s="56">
        <v>28</v>
      </c>
    </row>
    <row r="350" spans="1:5" ht="15" thickBot="1">
      <c r="A350" s="56">
        <v>6</v>
      </c>
      <c r="B350" s="56">
        <v>8</v>
      </c>
      <c r="C350" s="56">
        <v>12</v>
      </c>
      <c r="D350" s="56">
        <v>13</v>
      </c>
      <c r="E350" s="56">
        <v>21</v>
      </c>
    </row>
    <row r="351" spans="1:5" ht="15" thickBot="1">
      <c r="A351" s="56">
        <v>9</v>
      </c>
      <c r="B351" s="56">
        <v>18</v>
      </c>
      <c r="C351" s="56">
        <v>21</v>
      </c>
      <c r="D351" s="56">
        <v>26</v>
      </c>
      <c r="E351" s="56">
        <v>29</v>
      </c>
    </row>
    <row r="352" spans="1:5" ht="15" thickBot="1">
      <c r="A352" s="56">
        <v>9</v>
      </c>
      <c r="B352" s="56">
        <v>15</v>
      </c>
      <c r="C352" s="56">
        <v>19</v>
      </c>
      <c r="D352" s="56">
        <v>23</v>
      </c>
      <c r="E352" s="56">
        <v>33</v>
      </c>
    </row>
    <row r="353" spans="1:5" ht="15" thickBot="1">
      <c r="A353" s="56">
        <v>11</v>
      </c>
      <c r="B353" s="56">
        <v>13</v>
      </c>
      <c r="C353" s="56">
        <v>14</v>
      </c>
      <c r="D353" s="56">
        <v>26</v>
      </c>
      <c r="E353" s="56">
        <v>29</v>
      </c>
    </row>
    <row r="354" spans="1:5" ht="15" thickBot="1">
      <c r="A354" s="56">
        <v>6</v>
      </c>
      <c r="B354" s="56">
        <v>9</v>
      </c>
      <c r="C354" s="56">
        <v>14</v>
      </c>
      <c r="D354" s="56">
        <v>15</v>
      </c>
      <c r="E354" s="56">
        <v>33</v>
      </c>
    </row>
    <row r="355" spans="1:5" ht="15" thickBot="1">
      <c r="A355" s="56">
        <v>5</v>
      </c>
      <c r="B355" s="56">
        <v>7</v>
      </c>
      <c r="C355" s="56">
        <v>17</v>
      </c>
      <c r="D355" s="56">
        <v>31</v>
      </c>
      <c r="E355" s="56">
        <v>32</v>
      </c>
    </row>
    <row r="356" spans="1:5" ht="15" thickBot="1">
      <c r="A356" s="56">
        <v>14</v>
      </c>
      <c r="B356" s="56">
        <v>15</v>
      </c>
      <c r="C356" s="56">
        <v>19</v>
      </c>
      <c r="D356" s="56">
        <v>22</v>
      </c>
      <c r="E356" s="56">
        <v>27</v>
      </c>
    </row>
    <row r="357" spans="1:5" ht="15" thickBot="1">
      <c r="A357" s="56">
        <v>1</v>
      </c>
      <c r="B357" s="56">
        <v>13</v>
      </c>
      <c r="C357" s="56">
        <v>23</v>
      </c>
      <c r="D357" s="56">
        <v>30</v>
      </c>
      <c r="E357" s="56">
        <v>34</v>
      </c>
    </row>
    <row r="358" spans="1:5" ht="15" thickBot="1">
      <c r="A358" s="56">
        <v>7</v>
      </c>
      <c r="B358" s="56">
        <v>21</v>
      </c>
      <c r="C358" s="56">
        <v>25</v>
      </c>
      <c r="D358" s="56">
        <v>27</v>
      </c>
      <c r="E358" s="56">
        <v>33</v>
      </c>
    </row>
    <row r="359" spans="1:5" ht="15" thickBot="1">
      <c r="A359" s="56">
        <v>6</v>
      </c>
      <c r="B359" s="56">
        <v>19</v>
      </c>
      <c r="C359" s="56">
        <v>21</v>
      </c>
      <c r="D359" s="56">
        <v>25</v>
      </c>
      <c r="E359" s="56">
        <v>32</v>
      </c>
    </row>
    <row r="360" spans="1:5" ht="15" thickBot="1">
      <c r="A360" s="56">
        <v>3</v>
      </c>
      <c r="B360" s="56">
        <v>11</v>
      </c>
      <c r="C360" s="56">
        <v>23</v>
      </c>
      <c r="D360" s="56">
        <v>24</v>
      </c>
      <c r="E360" s="56">
        <v>34</v>
      </c>
    </row>
    <row r="361" spans="1:5" ht="15" thickBot="1">
      <c r="A361" s="56">
        <v>3</v>
      </c>
      <c r="B361" s="56">
        <v>5</v>
      </c>
      <c r="C361" s="56">
        <v>9</v>
      </c>
      <c r="D361" s="56">
        <v>10</v>
      </c>
      <c r="E361" s="56">
        <v>29</v>
      </c>
    </row>
    <row r="362" spans="1:5" ht="15" thickBot="1">
      <c r="A362" s="56">
        <v>18</v>
      </c>
      <c r="B362" s="56">
        <v>19</v>
      </c>
      <c r="C362" s="56">
        <v>22</v>
      </c>
      <c r="D362" s="56">
        <v>32</v>
      </c>
      <c r="E362" s="56">
        <v>33</v>
      </c>
    </row>
    <row r="363" spans="1:5" ht="15" thickBot="1">
      <c r="A363" s="56">
        <v>1</v>
      </c>
      <c r="B363" s="56">
        <v>4</v>
      </c>
      <c r="C363" s="56">
        <v>7</v>
      </c>
      <c r="D363" s="56">
        <v>22</v>
      </c>
      <c r="E363" s="56">
        <v>27</v>
      </c>
    </row>
    <row r="364" spans="1:5" ht="15" thickBot="1">
      <c r="A364" s="56">
        <v>9</v>
      </c>
      <c r="B364" s="56">
        <v>12</v>
      </c>
      <c r="C364" s="56">
        <v>14</v>
      </c>
      <c r="D364" s="56">
        <v>23</v>
      </c>
      <c r="E364" s="56">
        <v>27</v>
      </c>
    </row>
    <row r="365" spans="1:5" ht="15" thickBot="1">
      <c r="A365" s="56">
        <v>4</v>
      </c>
      <c r="B365" s="56">
        <v>6</v>
      </c>
      <c r="C365" s="56">
        <v>12</v>
      </c>
      <c r="D365" s="56">
        <v>16</v>
      </c>
      <c r="E365" s="56">
        <v>33</v>
      </c>
    </row>
    <row r="366" spans="1:5" ht="15" thickBot="1">
      <c r="A366" s="56">
        <v>4</v>
      </c>
      <c r="B366" s="56">
        <v>16</v>
      </c>
      <c r="C366" s="56">
        <v>23</v>
      </c>
      <c r="D366" s="56">
        <v>29</v>
      </c>
      <c r="E366" s="56">
        <v>32</v>
      </c>
    </row>
    <row r="367" spans="1:5" ht="15" thickBot="1">
      <c r="A367" s="56">
        <v>6</v>
      </c>
      <c r="B367" s="56">
        <v>13</v>
      </c>
      <c r="C367" s="56">
        <v>16</v>
      </c>
      <c r="D367" s="56">
        <v>22</v>
      </c>
      <c r="E367" s="56">
        <v>32</v>
      </c>
    </row>
    <row r="368" spans="1:5" ht="15" thickBot="1">
      <c r="A368" s="56">
        <v>13</v>
      </c>
      <c r="B368" s="56">
        <v>18</v>
      </c>
      <c r="C368" s="56">
        <v>25</v>
      </c>
      <c r="D368" s="56">
        <v>30</v>
      </c>
      <c r="E368" s="56">
        <v>31</v>
      </c>
    </row>
    <row r="369" spans="1:5" ht="15" thickBot="1">
      <c r="A369" s="56">
        <v>4</v>
      </c>
      <c r="B369" s="56">
        <v>12</v>
      </c>
      <c r="C369" s="56">
        <v>28</v>
      </c>
      <c r="D369" s="56">
        <v>30</v>
      </c>
      <c r="E369" s="56">
        <v>31</v>
      </c>
    </row>
    <row r="370" spans="1:5" ht="15" thickBot="1">
      <c r="A370" s="56">
        <v>19</v>
      </c>
      <c r="B370" s="56">
        <v>21</v>
      </c>
      <c r="C370" s="56">
        <v>22</v>
      </c>
      <c r="D370" s="56">
        <v>31</v>
      </c>
      <c r="E370" s="56">
        <v>34</v>
      </c>
    </row>
    <row r="371" spans="1:5" ht="15" thickBot="1">
      <c r="A371" s="56">
        <v>9</v>
      </c>
      <c r="B371" s="56">
        <v>13</v>
      </c>
      <c r="C371" s="56">
        <v>20</v>
      </c>
      <c r="D371" s="56">
        <v>26</v>
      </c>
      <c r="E371" s="56">
        <v>29</v>
      </c>
    </row>
    <row r="372" spans="1:5">
      <c r="A372" s="57">
        <v>17</v>
      </c>
      <c r="B372" s="57">
        <v>19</v>
      </c>
      <c r="C372" s="57">
        <v>20</v>
      </c>
      <c r="D372" s="57">
        <v>23</v>
      </c>
      <c r="E372" s="57">
        <v>32</v>
      </c>
    </row>
    <row r="374" spans="1:5" ht="15" thickBot="1">
      <c r="A374" s="59" t="s">
        <v>125</v>
      </c>
      <c r="B374" s="59" t="s">
        <v>126</v>
      </c>
      <c r="C374" s="59" t="s">
        <v>127</v>
      </c>
      <c r="D374" s="59" t="s">
        <v>128</v>
      </c>
      <c r="E374" s="59" t="s">
        <v>129</v>
      </c>
    </row>
    <row r="375" spans="1:5" ht="15" thickBot="1">
      <c r="A375" s="56">
        <v>5</v>
      </c>
      <c r="B375" s="56">
        <v>12</v>
      </c>
      <c r="C375" s="56">
        <v>18</v>
      </c>
      <c r="D375" s="56">
        <v>26</v>
      </c>
      <c r="E375" s="56">
        <v>30</v>
      </c>
    </row>
    <row r="376" spans="1:5" ht="15" thickBot="1">
      <c r="A376" s="56">
        <v>4</v>
      </c>
      <c r="B376" s="56">
        <v>6</v>
      </c>
      <c r="C376" s="56">
        <v>16</v>
      </c>
      <c r="D376" s="56">
        <v>17</v>
      </c>
      <c r="E376" s="56">
        <v>28</v>
      </c>
    </row>
    <row r="377" spans="1:5" ht="15" thickBot="1">
      <c r="A377" s="56">
        <v>3</v>
      </c>
      <c r="B377" s="56">
        <v>4</v>
      </c>
      <c r="C377" s="56">
        <v>23</v>
      </c>
      <c r="D377" s="56">
        <v>25</v>
      </c>
      <c r="E377" s="56">
        <v>31</v>
      </c>
    </row>
    <row r="378" spans="1:5" ht="15" thickBot="1">
      <c r="A378" s="56">
        <v>13</v>
      </c>
      <c r="B378" s="56">
        <v>15</v>
      </c>
      <c r="C378" s="56">
        <v>20</v>
      </c>
      <c r="D378" s="56">
        <v>22</v>
      </c>
      <c r="E378" s="56">
        <v>33</v>
      </c>
    </row>
    <row r="379" spans="1:5" ht="15" thickBot="1">
      <c r="A379" s="56">
        <v>4</v>
      </c>
      <c r="B379" s="56">
        <v>6</v>
      </c>
      <c r="C379" s="56">
        <v>24</v>
      </c>
      <c r="D379" s="56">
        <v>26</v>
      </c>
      <c r="E379" s="56">
        <v>29</v>
      </c>
    </row>
    <row r="380" spans="1:5" ht="15" thickBot="1">
      <c r="A380" s="56">
        <v>5</v>
      </c>
      <c r="B380" s="56">
        <v>18</v>
      </c>
      <c r="C380" s="56">
        <v>19</v>
      </c>
      <c r="D380" s="56">
        <v>27</v>
      </c>
      <c r="E380" s="56">
        <v>33</v>
      </c>
    </row>
    <row r="381" spans="1:5" ht="15" thickBot="1">
      <c r="A381" s="56">
        <v>3</v>
      </c>
      <c r="B381" s="56">
        <v>14</v>
      </c>
      <c r="C381" s="56">
        <v>16</v>
      </c>
      <c r="D381" s="56">
        <v>20</v>
      </c>
      <c r="E381" s="56">
        <v>25</v>
      </c>
    </row>
    <row r="382" spans="1:5" ht="15" thickBot="1">
      <c r="A382" s="56">
        <v>7</v>
      </c>
      <c r="B382" s="56">
        <v>20</v>
      </c>
      <c r="C382" s="56">
        <v>24</v>
      </c>
      <c r="D382" s="56">
        <v>33</v>
      </c>
      <c r="E382" s="56">
        <v>34</v>
      </c>
    </row>
    <row r="383" spans="1:5" ht="15" thickBot="1">
      <c r="A383" s="56">
        <v>3</v>
      </c>
      <c r="B383" s="56">
        <v>5</v>
      </c>
      <c r="C383" s="56">
        <v>18</v>
      </c>
      <c r="D383" s="56">
        <v>23</v>
      </c>
      <c r="E383" s="56">
        <v>32</v>
      </c>
    </row>
    <row r="384" spans="1:5" ht="15" thickBot="1">
      <c r="A384" s="56">
        <v>7</v>
      </c>
      <c r="B384" s="56">
        <v>18</v>
      </c>
      <c r="C384" s="56">
        <v>22</v>
      </c>
      <c r="D384" s="56">
        <v>24</v>
      </c>
      <c r="E384" s="56">
        <v>26</v>
      </c>
    </row>
    <row r="385" spans="1:5" ht="15" thickBot="1">
      <c r="A385" s="56">
        <v>2</v>
      </c>
      <c r="B385" s="56">
        <v>5</v>
      </c>
      <c r="C385" s="56">
        <v>7</v>
      </c>
      <c r="D385" s="56">
        <v>9</v>
      </c>
      <c r="E385" s="56">
        <v>28</v>
      </c>
    </row>
    <row r="386" spans="1:5" ht="15" thickBot="1">
      <c r="A386" s="56">
        <v>13</v>
      </c>
      <c r="B386" s="56">
        <v>17</v>
      </c>
      <c r="C386" s="56">
        <v>18</v>
      </c>
      <c r="D386" s="56">
        <v>32</v>
      </c>
      <c r="E386" s="56">
        <v>33</v>
      </c>
    </row>
    <row r="387" spans="1:5" ht="15" thickBot="1">
      <c r="A387" s="56">
        <v>8</v>
      </c>
      <c r="B387" s="56">
        <v>9</v>
      </c>
      <c r="C387" s="56">
        <v>24</v>
      </c>
      <c r="D387" s="56">
        <v>33</v>
      </c>
      <c r="E387" s="56">
        <v>34</v>
      </c>
    </row>
    <row r="388" spans="1:5" ht="15" thickBot="1">
      <c r="A388" s="56">
        <v>3</v>
      </c>
      <c r="B388" s="56">
        <v>6</v>
      </c>
      <c r="C388" s="56">
        <v>16</v>
      </c>
      <c r="D388" s="56">
        <v>26</v>
      </c>
      <c r="E388" s="56">
        <v>33</v>
      </c>
    </row>
    <row r="389" spans="1:5" ht="15" thickBot="1">
      <c r="A389" s="56">
        <v>1</v>
      </c>
      <c r="B389" s="56">
        <v>5</v>
      </c>
      <c r="C389" s="56">
        <v>17</v>
      </c>
      <c r="D389" s="56">
        <v>21</v>
      </c>
      <c r="E389" s="56">
        <v>27</v>
      </c>
    </row>
    <row r="390" spans="1:5" ht="15" thickBot="1">
      <c r="A390" s="56">
        <v>1</v>
      </c>
      <c r="B390" s="56">
        <v>5</v>
      </c>
      <c r="C390" s="56">
        <v>7</v>
      </c>
      <c r="D390" s="56">
        <v>11</v>
      </c>
      <c r="E390" s="56">
        <v>17</v>
      </c>
    </row>
    <row r="391" spans="1:5" ht="15" thickBot="1">
      <c r="A391" s="56">
        <v>2</v>
      </c>
      <c r="B391" s="56">
        <v>7</v>
      </c>
      <c r="C391" s="56">
        <v>18</v>
      </c>
      <c r="D391" s="56">
        <v>28</v>
      </c>
      <c r="E391" s="56">
        <v>32</v>
      </c>
    </row>
    <row r="392" spans="1:5" ht="15" thickBot="1">
      <c r="A392" s="56">
        <v>12</v>
      </c>
      <c r="B392" s="56">
        <v>15</v>
      </c>
      <c r="C392" s="56">
        <v>16</v>
      </c>
      <c r="D392" s="56">
        <v>24</v>
      </c>
      <c r="E392" s="56">
        <v>28</v>
      </c>
    </row>
    <row r="393" spans="1:5" ht="15" thickBot="1">
      <c r="A393" s="56">
        <v>12</v>
      </c>
      <c r="B393" s="56">
        <v>13</v>
      </c>
      <c r="C393" s="56">
        <v>24</v>
      </c>
      <c r="D393" s="56">
        <v>25</v>
      </c>
      <c r="E393" s="56">
        <v>30</v>
      </c>
    </row>
    <row r="394" spans="1:5" ht="15" thickBot="1">
      <c r="A394" s="56">
        <v>5</v>
      </c>
      <c r="B394" s="56">
        <v>14</v>
      </c>
      <c r="C394" s="56">
        <v>28</v>
      </c>
      <c r="D394" s="56">
        <v>29</v>
      </c>
      <c r="E394" s="56">
        <v>31</v>
      </c>
    </row>
    <row r="395" spans="1:5" ht="15" thickBot="1">
      <c r="A395" s="56">
        <v>4</v>
      </c>
      <c r="B395" s="56">
        <v>20</v>
      </c>
      <c r="C395" s="56">
        <v>23</v>
      </c>
      <c r="D395" s="56">
        <v>31</v>
      </c>
      <c r="E395" s="56">
        <v>34</v>
      </c>
    </row>
    <row r="396" spans="1:5" ht="15" thickBot="1">
      <c r="A396" s="56">
        <v>6</v>
      </c>
      <c r="B396" s="56">
        <v>11</v>
      </c>
      <c r="C396" s="56">
        <v>21</v>
      </c>
      <c r="D396" s="56">
        <v>31</v>
      </c>
      <c r="E396" s="56">
        <v>33</v>
      </c>
    </row>
    <row r="397" spans="1:5" ht="15" thickBot="1">
      <c r="A397" s="56">
        <v>6</v>
      </c>
      <c r="B397" s="56">
        <v>14</v>
      </c>
      <c r="C397" s="56">
        <v>25</v>
      </c>
      <c r="D397" s="56">
        <v>30</v>
      </c>
      <c r="E397" s="56">
        <v>32</v>
      </c>
    </row>
    <row r="398" spans="1:5" ht="15" thickBot="1">
      <c r="A398" s="56">
        <v>1</v>
      </c>
      <c r="B398" s="56">
        <v>3</v>
      </c>
      <c r="C398" s="56">
        <v>12</v>
      </c>
      <c r="D398" s="56">
        <v>19</v>
      </c>
      <c r="E398" s="56">
        <v>31</v>
      </c>
    </row>
    <row r="399" spans="1:5" ht="15" thickBot="1">
      <c r="A399" s="56">
        <v>3</v>
      </c>
      <c r="B399" s="56">
        <v>14</v>
      </c>
      <c r="C399" s="56">
        <v>27</v>
      </c>
      <c r="D399" s="56">
        <v>29</v>
      </c>
      <c r="E399" s="56">
        <v>34</v>
      </c>
    </row>
    <row r="400" spans="1:5" ht="15" thickBot="1">
      <c r="A400" s="56">
        <v>4</v>
      </c>
      <c r="B400" s="56">
        <v>15</v>
      </c>
      <c r="C400" s="56">
        <v>19</v>
      </c>
      <c r="D400" s="56">
        <v>22</v>
      </c>
      <c r="E400" s="56">
        <v>30</v>
      </c>
    </row>
    <row r="401" spans="1:5" ht="15" thickBot="1">
      <c r="A401" s="56">
        <v>2</v>
      </c>
      <c r="B401" s="56">
        <v>14</v>
      </c>
      <c r="C401" s="56">
        <v>17</v>
      </c>
      <c r="D401" s="56">
        <v>18</v>
      </c>
      <c r="E401" s="56">
        <v>19</v>
      </c>
    </row>
    <row r="402" spans="1:5" ht="15" thickBot="1">
      <c r="A402" s="56">
        <v>3</v>
      </c>
      <c r="B402" s="56">
        <v>8</v>
      </c>
      <c r="C402" s="56">
        <v>28</v>
      </c>
      <c r="D402" s="56">
        <v>30</v>
      </c>
      <c r="E402" s="56">
        <v>34</v>
      </c>
    </row>
    <row r="403" spans="1:5" ht="15" thickBot="1">
      <c r="A403" s="56">
        <v>10</v>
      </c>
      <c r="B403" s="56">
        <v>13</v>
      </c>
      <c r="C403" s="56">
        <v>15</v>
      </c>
      <c r="D403" s="56">
        <v>31</v>
      </c>
      <c r="E403" s="56">
        <v>34</v>
      </c>
    </row>
    <row r="404" spans="1:5" ht="15" thickBot="1">
      <c r="A404" s="56">
        <v>6</v>
      </c>
      <c r="B404" s="56">
        <v>9</v>
      </c>
      <c r="C404" s="56">
        <v>10</v>
      </c>
      <c r="D404" s="56">
        <v>20</v>
      </c>
      <c r="E404" s="56">
        <v>33</v>
      </c>
    </row>
    <row r="405" spans="1:5" ht="15" thickBot="1">
      <c r="A405" s="56">
        <v>5</v>
      </c>
      <c r="B405" s="56">
        <v>25</v>
      </c>
      <c r="C405" s="56">
        <v>28</v>
      </c>
      <c r="D405" s="56">
        <v>32</v>
      </c>
      <c r="E405" s="56">
        <v>34</v>
      </c>
    </row>
    <row r="406" spans="1:5" ht="15" thickBot="1">
      <c r="A406" s="56">
        <v>12</v>
      </c>
      <c r="B406" s="56">
        <v>17</v>
      </c>
      <c r="C406" s="56">
        <v>25</v>
      </c>
      <c r="D406" s="56">
        <v>26</v>
      </c>
      <c r="E406" s="56">
        <v>34</v>
      </c>
    </row>
    <row r="407" spans="1:5" ht="15" thickBot="1">
      <c r="A407" s="56">
        <v>4</v>
      </c>
      <c r="B407" s="56">
        <v>5</v>
      </c>
      <c r="C407" s="56">
        <v>6</v>
      </c>
      <c r="D407" s="56">
        <v>10</v>
      </c>
      <c r="E407" s="56">
        <v>19</v>
      </c>
    </row>
    <row r="408" spans="1:5" ht="15" thickBot="1">
      <c r="A408" s="56">
        <v>3</v>
      </c>
      <c r="B408" s="56">
        <v>17</v>
      </c>
      <c r="C408" s="56">
        <v>18</v>
      </c>
      <c r="D408" s="56">
        <v>25</v>
      </c>
      <c r="E408" s="56">
        <v>34</v>
      </c>
    </row>
    <row r="409" spans="1:5" ht="15" thickBot="1">
      <c r="A409" s="56">
        <v>6</v>
      </c>
      <c r="B409" s="56">
        <v>7</v>
      </c>
      <c r="C409" s="56">
        <v>11</v>
      </c>
      <c r="D409" s="56">
        <v>14</v>
      </c>
      <c r="E409" s="56">
        <v>30</v>
      </c>
    </row>
    <row r="410" spans="1:5" ht="15" thickBot="1">
      <c r="A410" s="56">
        <v>2</v>
      </c>
      <c r="B410" s="56">
        <v>6</v>
      </c>
      <c r="C410" s="56">
        <v>18</v>
      </c>
      <c r="D410" s="56">
        <v>22</v>
      </c>
      <c r="E410" s="56">
        <v>23</v>
      </c>
    </row>
    <row r="411" spans="1:5" ht="15" thickBot="1">
      <c r="A411" s="56">
        <v>9</v>
      </c>
      <c r="B411" s="56">
        <v>14</v>
      </c>
      <c r="C411" s="56">
        <v>20</v>
      </c>
      <c r="D411" s="56">
        <v>24</v>
      </c>
      <c r="E411" s="56">
        <v>33</v>
      </c>
    </row>
    <row r="412" spans="1:5" ht="15" thickBot="1">
      <c r="A412" s="56">
        <v>1</v>
      </c>
      <c r="B412" s="56">
        <v>4</v>
      </c>
      <c r="C412" s="56">
        <v>5</v>
      </c>
      <c r="D412" s="56">
        <v>9</v>
      </c>
      <c r="E412" s="56">
        <v>23</v>
      </c>
    </row>
    <row r="413" spans="1:5" ht="15" thickBot="1">
      <c r="A413" s="56">
        <v>4</v>
      </c>
      <c r="B413" s="56">
        <v>5</v>
      </c>
      <c r="C413" s="56">
        <v>17</v>
      </c>
      <c r="D413" s="56">
        <v>18</v>
      </c>
      <c r="E413" s="56">
        <v>21</v>
      </c>
    </row>
    <row r="414" spans="1:5" ht="15" thickBot="1">
      <c r="A414" s="56">
        <v>9</v>
      </c>
      <c r="B414" s="56">
        <v>16</v>
      </c>
      <c r="C414" s="56">
        <v>24</v>
      </c>
      <c r="D414" s="56">
        <v>26</v>
      </c>
      <c r="E414" s="56">
        <v>28</v>
      </c>
    </row>
    <row r="415" spans="1:5" ht="15" thickBot="1">
      <c r="A415" s="56">
        <v>5</v>
      </c>
      <c r="B415" s="56">
        <v>13</v>
      </c>
      <c r="C415" s="56">
        <v>15</v>
      </c>
      <c r="D415" s="56">
        <v>20</v>
      </c>
      <c r="E415" s="56">
        <v>34</v>
      </c>
    </row>
    <row r="416" spans="1:5" ht="15" thickBot="1">
      <c r="A416" s="56">
        <v>1</v>
      </c>
      <c r="B416" s="56">
        <v>2</v>
      </c>
      <c r="C416" s="56">
        <v>3</v>
      </c>
      <c r="D416" s="56">
        <v>12</v>
      </c>
      <c r="E416" s="56">
        <v>22</v>
      </c>
    </row>
    <row r="417" spans="1:5" ht="15" thickBot="1">
      <c r="A417" s="56">
        <v>4</v>
      </c>
      <c r="B417" s="56">
        <v>10</v>
      </c>
      <c r="C417" s="56">
        <v>13</v>
      </c>
      <c r="D417" s="56">
        <v>21</v>
      </c>
      <c r="E417" s="56">
        <v>23</v>
      </c>
    </row>
    <row r="418" spans="1:5" ht="15" thickBot="1">
      <c r="A418" s="56">
        <v>11</v>
      </c>
      <c r="B418" s="56">
        <v>12</v>
      </c>
      <c r="C418" s="56">
        <v>22</v>
      </c>
      <c r="D418" s="56">
        <v>31</v>
      </c>
      <c r="E418" s="56">
        <v>32</v>
      </c>
    </row>
    <row r="419" spans="1:5" ht="15" thickBot="1">
      <c r="A419" s="56">
        <v>2</v>
      </c>
      <c r="B419" s="56">
        <v>7</v>
      </c>
      <c r="C419" s="56">
        <v>18</v>
      </c>
      <c r="D419" s="56">
        <v>32</v>
      </c>
      <c r="E419" s="56">
        <v>33</v>
      </c>
    </row>
    <row r="420" spans="1:5" ht="15" thickBot="1">
      <c r="A420" s="56">
        <v>13</v>
      </c>
      <c r="B420" s="56">
        <v>18</v>
      </c>
      <c r="C420" s="56">
        <v>20</v>
      </c>
      <c r="D420" s="56">
        <v>21</v>
      </c>
      <c r="E420" s="56">
        <v>27</v>
      </c>
    </row>
    <row r="421" spans="1:5" ht="15" thickBot="1">
      <c r="A421" s="56">
        <v>3</v>
      </c>
      <c r="B421" s="56">
        <v>4</v>
      </c>
      <c r="C421" s="56">
        <v>20</v>
      </c>
      <c r="D421" s="56">
        <v>31</v>
      </c>
      <c r="E421" s="56">
        <v>34</v>
      </c>
    </row>
    <row r="422" spans="1:5" ht="15" thickBot="1">
      <c r="A422" s="56">
        <v>4</v>
      </c>
      <c r="B422" s="56">
        <v>10</v>
      </c>
      <c r="C422" s="56">
        <v>14</v>
      </c>
      <c r="D422" s="56">
        <v>16</v>
      </c>
      <c r="E422" s="56">
        <v>23</v>
      </c>
    </row>
    <row r="423" spans="1:5" ht="15" thickBot="1">
      <c r="A423" s="56">
        <v>1</v>
      </c>
      <c r="B423" s="56">
        <v>7</v>
      </c>
      <c r="C423" s="56">
        <v>9</v>
      </c>
      <c r="D423" s="56">
        <v>10</v>
      </c>
      <c r="E423" s="56">
        <v>27</v>
      </c>
    </row>
    <row r="424" spans="1:5" ht="15" thickBot="1">
      <c r="A424" s="56">
        <v>2</v>
      </c>
      <c r="B424" s="56">
        <v>9</v>
      </c>
      <c r="C424" s="56">
        <v>26</v>
      </c>
      <c r="D424" s="56">
        <v>30</v>
      </c>
      <c r="E424" s="56">
        <v>33</v>
      </c>
    </row>
    <row r="425" spans="1:5" ht="15" thickBot="1">
      <c r="A425" s="56">
        <v>4</v>
      </c>
      <c r="B425" s="56">
        <v>13</v>
      </c>
      <c r="C425" s="56">
        <v>27</v>
      </c>
      <c r="D425" s="56">
        <v>28</v>
      </c>
      <c r="E425" s="56">
        <v>29</v>
      </c>
    </row>
    <row r="426" spans="1:5" ht="15" thickBot="1">
      <c r="A426" s="56">
        <v>2</v>
      </c>
      <c r="B426" s="56">
        <v>5</v>
      </c>
      <c r="C426" s="56">
        <v>14</v>
      </c>
      <c r="D426" s="56">
        <v>21</v>
      </c>
      <c r="E426" s="56">
        <v>31</v>
      </c>
    </row>
    <row r="427" spans="1:5" ht="15" thickBot="1">
      <c r="A427" s="56">
        <v>1</v>
      </c>
      <c r="B427" s="56">
        <v>15</v>
      </c>
      <c r="C427" s="56">
        <v>19</v>
      </c>
      <c r="D427" s="56">
        <v>27</v>
      </c>
      <c r="E427" s="56">
        <v>29</v>
      </c>
    </row>
    <row r="428" spans="1:5" ht="15" thickBot="1">
      <c r="A428" s="56">
        <v>1</v>
      </c>
      <c r="B428" s="56">
        <v>5</v>
      </c>
      <c r="C428" s="56">
        <v>15</v>
      </c>
      <c r="D428" s="56">
        <v>19</v>
      </c>
      <c r="E428" s="56">
        <v>20</v>
      </c>
    </row>
    <row r="429" spans="1:5" ht="15" thickBot="1">
      <c r="A429" s="56">
        <v>2</v>
      </c>
      <c r="B429" s="56">
        <v>8</v>
      </c>
      <c r="C429" s="56">
        <v>10</v>
      </c>
      <c r="D429" s="56">
        <v>14</v>
      </c>
      <c r="E429" s="56">
        <v>23</v>
      </c>
    </row>
    <row r="430" spans="1:5" ht="15" thickBot="1">
      <c r="A430" s="56">
        <v>25</v>
      </c>
      <c r="B430" s="56">
        <v>26</v>
      </c>
      <c r="C430" s="56">
        <v>29</v>
      </c>
      <c r="D430" s="56">
        <v>31</v>
      </c>
      <c r="E430" s="56">
        <v>33</v>
      </c>
    </row>
    <row r="431" spans="1:5" ht="15" thickBot="1">
      <c r="A431" s="56">
        <v>6</v>
      </c>
      <c r="B431" s="56">
        <v>7</v>
      </c>
      <c r="C431" s="56">
        <v>11</v>
      </c>
      <c r="D431" s="56">
        <v>25</v>
      </c>
      <c r="E431" s="56">
        <v>29</v>
      </c>
    </row>
    <row r="432" spans="1:5" ht="15" thickBot="1">
      <c r="A432" s="56">
        <v>1</v>
      </c>
      <c r="B432" s="56">
        <v>14</v>
      </c>
      <c r="C432" s="56">
        <v>21</v>
      </c>
      <c r="D432" s="56">
        <v>24</v>
      </c>
      <c r="E432" s="56">
        <v>26</v>
      </c>
    </row>
    <row r="433" spans="1:5" ht="15" thickBot="1">
      <c r="A433" s="56">
        <v>1</v>
      </c>
      <c r="B433" s="56">
        <v>15</v>
      </c>
      <c r="C433" s="56">
        <v>18</v>
      </c>
      <c r="D433" s="56">
        <v>20</v>
      </c>
      <c r="E433" s="56">
        <v>25</v>
      </c>
    </row>
    <row r="434" spans="1:5" ht="15" thickBot="1">
      <c r="A434" s="56">
        <v>13</v>
      </c>
      <c r="B434" s="56">
        <v>18</v>
      </c>
      <c r="C434" s="56">
        <v>22</v>
      </c>
      <c r="D434" s="56">
        <v>23</v>
      </c>
      <c r="E434" s="56">
        <v>31</v>
      </c>
    </row>
    <row r="435" spans="1:5" ht="15" thickBot="1">
      <c r="A435" s="56">
        <v>1</v>
      </c>
      <c r="B435" s="56">
        <v>6</v>
      </c>
      <c r="C435" s="56">
        <v>9</v>
      </c>
      <c r="D435" s="56">
        <v>15</v>
      </c>
      <c r="E435" s="56">
        <v>20</v>
      </c>
    </row>
    <row r="436" spans="1:5" ht="15" thickBot="1">
      <c r="A436" s="56">
        <v>1</v>
      </c>
      <c r="B436" s="56">
        <v>6</v>
      </c>
      <c r="C436" s="56">
        <v>13</v>
      </c>
      <c r="D436" s="56">
        <v>18</v>
      </c>
      <c r="E436" s="56">
        <v>23</v>
      </c>
    </row>
    <row r="437" spans="1:5" ht="15" thickBot="1">
      <c r="A437" s="56">
        <v>5</v>
      </c>
      <c r="B437" s="56">
        <v>7</v>
      </c>
      <c r="C437" s="56">
        <v>13</v>
      </c>
      <c r="D437" s="56">
        <v>17</v>
      </c>
      <c r="E437" s="56">
        <v>28</v>
      </c>
    </row>
    <row r="438" spans="1:5" ht="15" thickBot="1">
      <c r="A438" s="56">
        <v>1</v>
      </c>
      <c r="B438" s="56">
        <v>12</v>
      </c>
      <c r="C438" s="56">
        <v>16</v>
      </c>
      <c r="D438" s="56">
        <v>22</v>
      </c>
      <c r="E438" s="56">
        <v>24</v>
      </c>
    </row>
    <row r="439" spans="1:5" ht="15" thickBot="1">
      <c r="A439" s="56">
        <v>6</v>
      </c>
      <c r="B439" s="56">
        <v>10</v>
      </c>
      <c r="C439" s="56">
        <v>16</v>
      </c>
      <c r="D439" s="56">
        <v>19</v>
      </c>
      <c r="E439" s="56">
        <v>27</v>
      </c>
    </row>
    <row r="440" spans="1:5" ht="15" thickBot="1">
      <c r="A440" s="56">
        <v>7</v>
      </c>
      <c r="B440" s="56">
        <v>8</v>
      </c>
      <c r="C440" s="56">
        <v>16</v>
      </c>
      <c r="D440" s="56">
        <v>22</v>
      </c>
      <c r="E440" s="56">
        <v>27</v>
      </c>
    </row>
    <row r="441" spans="1:5" ht="15" thickBot="1">
      <c r="A441" s="56">
        <v>9</v>
      </c>
      <c r="B441" s="56">
        <v>14</v>
      </c>
      <c r="C441" s="56">
        <v>16</v>
      </c>
      <c r="D441" s="56">
        <v>21</v>
      </c>
      <c r="E441" s="56">
        <v>30</v>
      </c>
    </row>
    <row r="442" spans="1:5" ht="15" thickBot="1">
      <c r="A442" s="56">
        <v>3</v>
      </c>
      <c r="B442" s="56">
        <v>22</v>
      </c>
      <c r="C442" s="56">
        <v>23</v>
      </c>
      <c r="D442" s="56">
        <v>29</v>
      </c>
      <c r="E442" s="56">
        <v>30</v>
      </c>
    </row>
    <row r="443" spans="1:5" ht="15" thickBot="1">
      <c r="A443" s="56">
        <v>1</v>
      </c>
      <c r="B443" s="56">
        <v>2</v>
      </c>
      <c r="C443" s="56">
        <v>14</v>
      </c>
      <c r="D443" s="56">
        <v>18</v>
      </c>
      <c r="E443" s="56">
        <v>32</v>
      </c>
    </row>
    <row r="444" spans="1:5" ht="15" thickBot="1">
      <c r="A444" s="56">
        <v>4</v>
      </c>
      <c r="B444" s="56">
        <v>12</v>
      </c>
      <c r="C444" s="56">
        <v>20</v>
      </c>
      <c r="D444" s="56">
        <v>22</v>
      </c>
      <c r="E444" s="56">
        <v>30</v>
      </c>
    </row>
    <row r="445" spans="1:5" ht="15" thickBot="1">
      <c r="A445" s="56">
        <v>2</v>
      </c>
      <c r="B445" s="56">
        <v>4</v>
      </c>
      <c r="C445" s="56">
        <v>6</v>
      </c>
      <c r="D445" s="56">
        <v>12</v>
      </c>
      <c r="E445" s="56">
        <v>14</v>
      </c>
    </row>
    <row r="446" spans="1:5" ht="15" thickBot="1">
      <c r="A446" s="56">
        <v>3</v>
      </c>
      <c r="B446" s="56">
        <v>9</v>
      </c>
      <c r="C446" s="56">
        <v>11</v>
      </c>
      <c r="D446" s="56">
        <v>15</v>
      </c>
      <c r="E446" s="56">
        <v>34</v>
      </c>
    </row>
    <row r="447" spans="1:5" ht="15" thickBot="1">
      <c r="A447" s="56">
        <v>8</v>
      </c>
      <c r="B447" s="56">
        <v>12</v>
      </c>
      <c r="C447" s="56">
        <v>21</v>
      </c>
      <c r="D447" s="56">
        <v>23</v>
      </c>
      <c r="E447" s="56">
        <v>31</v>
      </c>
    </row>
    <row r="448" spans="1:5" ht="15" thickBot="1">
      <c r="A448" s="56">
        <v>3</v>
      </c>
      <c r="B448" s="56">
        <v>21</v>
      </c>
      <c r="C448" s="56">
        <v>23</v>
      </c>
      <c r="D448" s="56">
        <v>25</v>
      </c>
      <c r="E448" s="56">
        <v>34</v>
      </c>
    </row>
    <row r="449" spans="1:5" ht="15" thickBot="1">
      <c r="A449" s="56">
        <v>11</v>
      </c>
      <c r="B449" s="56">
        <v>14</v>
      </c>
      <c r="C449" s="56">
        <v>20</v>
      </c>
      <c r="D449" s="56">
        <v>24</v>
      </c>
      <c r="E449" s="56">
        <v>28</v>
      </c>
    </row>
    <row r="450" spans="1:5" ht="15" thickBot="1">
      <c r="A450" s="56">
        <v>10</v>
      </c>
      <c r="B450" s="56">
        <v>15</v>
      </c>
      <c r="C450" s="56">
        <v>21</v>
      </c>
      <c r="D450" s="56">
        <v>27</v>
      </c>
      <c r="E450" s="56">
        <v>34</v>
      </c>
    </row>
    <row r="451" spans="1:5" ht="15" thickBot="1">
      <c r="A451" s="56">
        <v>5</v>
      </c>
      <c r="B451" s="56">
        <v>6</v>
      </c>
      <c r="C451" s="56">
        <v>7</v>
      </c>
      <c r="D451" s="56">
        <v>11</v>
      </c>
      <c r="E451" s="56">
        <v>30</v>
      </c>
    </row>
    <row r="452" spans="1:5" ht="15" thickBot="1">
      <c r="A452" s="56">
        <v>18</v>
      </c>
      <c r="B452" s="56">
        <v>21</v>
      </c>
      <c r="C452" s="56">
        <v>26</v>
      </c>
      <c r="D452" s="56">
        <v>29</v>
      </c>
      <c r="E452" s="56">
        <v>30</v>
      </c>
    </row>
    <row r="453" spans="1:5" ht="15" thickBot="1">
      <c r="A453" s="56">
        <v>9</v>
      </c>
      <c r="B453" s="56">
        <v>11</v>
      </c>
      <c r="C453" s="56">
        <v>13</v>
      </c>
      <c r="D453" s="56">
        <v>20</v>
      </c>
      <c r="E453" s="56">
        <v>30</v>
      </c>
    </row>
    <row r="454" spans="1:5" ht="15" thickBot="1">
      <c r="A454" s="56">
        <v>2</v>
      </c>
      <c r="B454" s="56">
        <v>3</v>
      </c>
      <c r="C454" s="56">
        <v>8</v>
      </c>
      <c r="D454" s="56">
        <v>12</v>
      </c>
      <c r="E454" s="56">
        <v>13</v>
      </c>
    </row>
    <row r="455" spans="1:5" ht="15" thickBot="1">
      <c r="A455" s="56">
        <v>6</v>
      </c>
      <c r="B455" s="56">
        <v>11</v>
      </c>
      <c r="C455" s="56">
        <v>14</v>
      </c>
      <c r="D455" s="56">
        <v>23</v>
      </c>
      <c r="E455" s="56">
        <v>25</v>
      </c>
    </row>
    <row r="456" spans="1:5" ht="15" thickBot="1">
      <c r="A456" s="56">
        <v>2</v>
      </c>
      <c r="B456" s="56">
        <v>3</v>
      </c>
      <c r="C456" s="56">
        <v>13</v>
      </c>
      <c r="D456" s="56">
        <v>17</v>
      </c>
      <c r="E456" s="56">
        <v>21</v>
      </c>
    </row>
    <row r="457" spans="1:5" ht="15" thickBot="1">
      <c r="A457" s="56">
        <v>4</v>
      </c>
      <c r="B457" s="56">
        <v>11</v>
      </c>
      <c r="C457" s="56">
        <v>15</v>
      </c>
      <c r="D457" s="56">
        <v>22</v>
      </c>
      <c r="E457" s="56">
        <v>28</v>
      </c>
    </row>
    <row r="458" spans="1:5" ht="15" thickBot="1">
      <c r="A458" s="56">
        <v>4</v>
      </c>
      <c r="B458" s="56">
        <v>5</v>
      </c>
      <c r="C458" s="56">
        <v>6</v>
      </c>
      <c r="D458" s="56">
        <v>17</v>
      </c>
      <c r="E458" s="56">
        <v>27</v>
      </c>
    </row>
    <row r="459" spans="1:5" ht="15" thickBot="1">
      <c r="A459" s="56">
        <v>1</v>
      </c>
      <c r="B459" s="56">
        <v>5</v>
      </c>
      <c r="C459" s="56">
        <v>10</v>
      </c>
      <c r="D459" s="56">
        <v>19</v>
      </c>
      <c r="E459" s="56">
        <v>31</v>
      </c>
    </row>
    <row r="460" spans="1:5" ht="15" thickBot="1">
      <c r="A460" s="56">
        <v>15</v>
      </c>
      <c r="B460" s="56">
        <v>18</v>
      </c>
      <c r="C460" s="56">
        <v>20</v>
      </c>
      <c r="D460" s="56">
        <v>21</v>
      </c>
      <c r="E460" s="56">
        <v>22</v>
      </c>
    </row>
    <row r="461" spans="1:5" ht="15" thickBot="1">
      <c r="A461" s="56">
        <v>2</v>
      </c>
      <c r="B461" s="56">
        <v>9</v>
      </c>
      <c r="C461" s="56">
        <v>10</v>
      </c>
      <c r="D461" s="56">
        <v>25</v>
      </c>
      <c r="E461" s="56">
        <v>32</v>
      </c>
    </row>
    <row r="462" spans="1:5" ht="15" thickBot="1">
      <c r="A462" s="56">
        <v>5</v>
      </c>
      <c r="B462" s="56">
        <v>15</v>
      </c>
      <c r="C462" s="56">
        <v>18</v>
      </c>
      <c r="D462" s="56">
        <v>23</v>
      </c>
      <c r="E462" s="56">
        <v>28</v>
      </c>
    </row>
    <row r="463" spans="1:5" ht="15" thickBot="1">
      <c r="A463" s="56">
        <v>3</v>
      </c>
      <c r="B463" s="56">
        <v>21</v>
      </c>
      <c r="C463" s="56">
        <v>23</v>
      </c>
      <c r="D463" s="56">
        <v>24</v>
      </c>
      <c r="E463" s="56">
        <v>27</v>
      </c>
    </row>
    <row r="464" spans="1:5" ht="15" thickBot="1">
      <c r="A464" s="56">
        <v>4</v>
      </c>
      <c r="B464" s="56">
        <v>17</v>
      </c>
      <c r="C464" s="56">
        <v>24</v>
      </c>
      <c r="D464" s="56">
        <v>31</v>
      </c>
      <c r="E464" s="56">
        <v>34</v>
      </c>
    </row>
    <row r="465" spans="1:5" ht="15" thickBot="1">
      <c r="A465" s="56">
        <v>5</v>
      </c>
      <c r="B465" s="56">
        <v>6</v>
      </c>
      <c r="C465" s="56">
        <v>8</v>
      </c>
      <c r="D465" s="56">
        <v>14</v>
      </c>
      <c r="E465" s="56">
        <v>19</v>
      </c>
    </row>
    <row r="466" spans="1:5" ht="15" thickBot="1">
      <c r="A466" s="56">
        <v>4</v>
      </c>
      <c r="B466" s="56">
        <v>10</v>
      </c>
      <c r="C466" s="56">
        <v>12</v>
      </c>
      <c r="D466" s="56">
        <v>33</v>
      </c>
      <c r="E466" s="56">
        <v>34</v>
      </c>
    </row>
    <row r="467" spans="1:5" ht="15" thickBot="1">
      <c r="A467" s="56">
        <v>3</v>
      </c>
      <c r="B467" s="56">
        <v>19</v>
      </c>
      <c r="C467" s="56">
        <v>20</v>
      </c>
      <c r="D467" s="56">
        <v>27</v>
      </c>
      <c r="E467" s="56">
        <v>31</v>
      </c>
    </row>
    <row r="468" spans="1:5" ht="15" thickBot="1">
      <c r="A468" s="56">
        <v>7</v>
      </c>
      <c r="B468" s="56">
        <v>12</v>
      </c>
      <c r="C468" s="56">
        <v>27</v>
      </c>
      <c r="D468" s="56">
        <v>29</v>
      </c>
      <c r="E468" s="56">
        <v>33</v>
      </c>
    </row>
    <row r="469" spans="1:5" ht="15" thickBot="1">
      <c r="A469" s="56">
        <v>9</v>
      </c>
      <c r="B469" s="56">
        <v>19</v>
      </c>
      <c r="C469" s="56">
        <v>27</v>
      </c>
      <c r="D469" s="56">
        <v>28</v>
      </c>
      <c r="E469" s="56">
        <v>34</v>
      </c>
    </row>
    <row r="470" spans="1:5" ht="15" thickBot="1">
      <c r="A470" s="56">
        <v>3</v>
      </c>
      <c r="B470" s="56">
        <v>8</v>
      </c>
      <c r="C470" s="56">
        <v>11</v>
      </c>
      <c r="D470" s="56">
        <v>17</v>
      </c>
      <c r="E470" s="56">
        <v>20</v>
      </c>
    </row>
    <row r="471" spans="1:5" ht="15" thickBot="1">
      <c r="A471" s="56">
        <v>2</v>
      </c>
      <c r="B471" s="56">
        <v>4</v>
      </c>
      <c r="C471" s="56">
        <v>12</v>
      </c>
      <c r="D471" s="56">
        <v>17</v>
      </c>
      <c r="E471" s="56">
        <v>28</v>
      </c>
    </row>
    <row r="472" spans="1:5" ht="15" thickBot="1">
      <c r="A472" s="56">
        <v>12</v>
      </c>
      <c r="B472" s="56">
        <v>13</v>
      </c>
      <c r="C472" s="56">
        <v>24</v>
      </c>
      <c r="D472" s="56">
        <v>32</v>
      </c>
      <c r="E472" s="56">
        <v>34</v>
      </c>
    </row>
    <row r="473" spans="1:5" ht="15" thickBot="1">
      <c r="A473" s="56">
        <v>4</v>
      </c>
      <c r="B473" s="56">
        <v>5</v>
      </c>
      <c r="C473" s="56">
        <v>14</v>
      </c>
      <c r="D473" s="56">
        <v>28</v>
      </c>
      <c r="E473" s="56">
        <v>30</v>
      </c>
    </row>
    <row r="474" spans="1:5" ht="15" thickBot="1">
      <c r="A474" s="56">
        <v>2</v>
      </c>
      <c r="B474" s="56">
        <v>7</v>
      </c>
      <c r="C474" s="56">
        <v>15</v>
      </c>
      <c r="D474" s="56">
        <v>31</v>
      </c>
      <c r="E474" s="56">
        <v>34</v>
      </c>
    </row>
    <row r="475" spans="1:5" ht="15" thickBot="1">
      <c r="A475" s="56">
        <v>5</v>
      </c>
      <c r="B475" s="56">
        <v>16</v>
      </c>
      <c r="C475" s="56">
        <v>17</v>
      </c>
      <c r="D475" s="56">
        <v>30</v>
      </c>
      <c r="E475" s="56">
        <v>33</v>
      </c>
    </row>
    <row r="476" spans="1:5" ht="15" thickBot="1">
      <c r="A476" s="56">
        <v>5</v>
      </c>
      <c r="B476" s="56">
        <v>13</v>
      </c>
      <c r="C476" s="56">
        <v>21</v>
      </c>
      <c r="D476" s="56">
        <v>23</v>
      </c>
      <c r="E476" s="56">
        <v>24</v>
      </c>
    </row>
    <row r="477" spans="1:5">
      <c r="A477" s="57">
        <v>8</v>
      </c>
      <c r="B477" s="57">
        <v>12</v>
      </c>
      <c r="C477" s="57">
        <v>13</v>
      </c>
      <c r="D477" s="57">
        <v>15</v>
      </c>
      <c r="E477" s="57">
        <v>23</v>
      </c>
    </row>
    <row r="479" spans="1:5" ht="15" thickBot="1">
      <c r="A479" s="59" t="s">
        <v>125</v>
      </c>
      <c r="B479" s="59" t="s">
        <v>126</v>
      </c>
      <c r="C479" s="59" t="s">
        <v>127</v>
      </c>
      <c r="D479" s="59" t="s">
        <v>128</v>
      </c>
      <c r="E479" s="59" t="s">
        <v>129</v>
      </c>
    </row>
    <row r="480" spans="1:5" ht="15" thickBot="1">
      <c r="A480" s="56">
        <v>7</v>
      </c>
      <c r="B480" s="56">
        <v>25</v>
      </c>
      <c r="C480" s="56">
        <v>26</v>
      </c>
      <c r="D480" s="56">
        <v>27</v>
      </c>
      <c r="E480" s="56">
        <v>30</v>
      </c>
    </row>
    <row r="481" spans="1:5" ht="15" thickBot="1">
      <c r="A481" s="56">
        <v>6</v>
      </c>
      <c r="B481" s="56">
        <v>13</v>
      </c>
      <c r="C481" s="56">
        <v>21</v>
      </c>
      <c r="D481" s="56">
        <v>29</v>
      </c>
      <c r="E481" s="56">
        <v>33</v>
      </c>
    </row>
    <row r="482" spans="1:5" ht="15" thickBot="1">
      <c r="A482" s="56">
        <v>22</v>
      </c>
      <c r="B482" s="56">
        <v>23</v>
      </c>
      <c r="C482" s="56">
        <v>26</v>
      </c>
      <c r="D482" s="56">
        <v>30</v>
      </c>
      <c r="E482" s="56">
        <v>34</v>
      </c>
    </row>
    <row r="483" spans="1:5" ht="15" thickBot="1">
      <c r="A483" s="56">
        <v>4</v>
      </c>
      <c r="B483" s="56">
        <v>7</v>
      </c>
      <c r="C483" s="56">
        <v>14</v>
      </c>
      <c r="D483" s="56">
        <v>15</v>
      </c>
      <c r="E483" s="56">
        <v>22</v>
      </c>
    </row>
    <row r="484" spans="1:5" ht="15" thickBot="1">
      <c r="A484" s="56">
        <v>3</v>
      </c>
      <c r="B484" s="56">
        <v>6</v>
      </c>
      <c r="C484" s="56">
        <v>7</v>
      </c>
      <c r="D484" s="56">
        <v>18</v>
      </c>
      <c r="E484" s="56">
        <v>23</v>
      </c>
    </row>
    <row r="485" spans="1:5" ht="15" thickBot="1">
      <c r="A485" s="56">
        <v>2</v>
      </c>
      <c r="B485" s="56">
        <v>7</v>
      </c>
      <c r="C485" s="56">
        <v>12</v>
      </c>
      <c r="D485" s="56">
        <v>17</v>
      </c>
      <c r="E485" s="56">
        <v>28</v>
      </c>
    </row>
    <row r="486" spans="1:5" ht="15" thickBot="1">
      <c r="A486" s="56">
        <v>3</v>
      </c>
      <c r="B486" s="56">
        <v>13</v>
      </c>
      <c r="C486" s="56">
        <v>15</v>
      </c>
      <c r="D486" s="56">
        <v>26</v>
      </c>
      <c r="E486" s="56">
        <v>30</v>
      </c>
    </row>
    <row r="487" spans="1:5" ht="15" thickBot="1">
      <c r="A487" s="56">
        <v>1</v>
      </c>
      <c r="B487" s="56">
        <v>12</v>
      </c>
      <c r="C487" s="56">
        <v>16</v>
      </c>
      <c r="D487" s="56">
        <v>24</v>
      </c>
      <c r="E487" s="56">
        <v>30</v>
      </c>
    </row>
    <row r="488" spans="1:5" ht="15" thickBot="1">
      <c r="A488" s="56">
        <v>6</v>
      </c>
      <c r="B488" s="56">
        <v>7</v>
      </c>
      <c r="C488" s="56">
        <v>9</v>
      </c>
      <c r="D488" s="56">
        <v>26</v>
      </c>
      <c r="E488" s="56">
        <v>33</v>
      </c>
    </row>
    <row r="489" spans="1:5" ht="15" thickBot="1">
      <c r="A489" s="56">
        <v>11</v>
      </c>
      <c r="B489" s="56">
        <v>24</v>
      </c>
      <c r="C489" s="56">
        <v>25</v>
      </c>
      <c r="D489" s="56">
        <v>28</v>
      </c>
      <c r="E489" s="56">
        <v>29</v>
      </c>
    </row>
    <row r="490" spans="1:5" ht="15" thickBot="1">
      <c r="A490" s="56">
        <v>2</v>
      </c>
      <c r="B490" s="56">
        <v>4</v>
      </c>
      <c r="C490" s="56">
        <v>19</v>
      </c>
      <c r="D490" s="56">
        <v>31</v>
      </c>
      <c r="E490" s="56">
        <v>33</v>
      </c>
    </row>
    <row r="491" spans="1:5" ht="15" thickBot="1">
      <c r="A491" s="56">
        <v>9</v>
      </c>
      <c r="B491" s="56">
        <v>16</v>
      </c>
      <c r="C491" s="56">
        <v>24</v>
      </c>
      <c r="D491" s="56">
        <v>26</v>
      </c>
      <c r="E491" s="56">
        <v>30</v>
      </c>
    </row>
    <row r="492" spans="1:5" ht="15" thickBot="1">
      <c r="A492" s="56">
        <v>4</v>
      </c>
      <c r="B492" s="56">
        <v>11</v>
      </c>
      <c r="C492" s="56">
        <v>14</v>
      </c>
      <c r="D492" s="56">
        <v>27</v>
      </c>
      <c r="E492" s="56">
        <v>31</v>
      </c>
    </row>
    <row r="493" spans="1:5" ht="15" thickBot="1">
      <c r="A493" s="56">
        <v>2</v>
      </c>
      <c r="B493" s="56">
        <v>7</v>
      </c>
      <c r="C493" s="56">
        <v>8</v>
      </c>
      <c r="D493" s="56">
        <v>9</v>
      </c>
      <c r="E493" s="56">
        <v>21</v>
      </c>
    </row>
    <row r="494" spans="1:5" ht="15" thickBot="1">
      <c r="A494" s="56">
        <v>12</v>
      </c>
      <c r="B494" s="56">
        <v>17</v>
      </c>
      <c r="C494" s="56">
        <v>24</v>
      </c>
      <c r="D494" s="56">
        <v>25</v>
      </c>
      <c r="E494" s="56">
        <v>34</v>
      </c>
    </row>
    <row r="495" spans="1:5" ht="15" thickBot="1">
      <c r="A495" s="56">
        <v>6</v>
      </c>
      <c r="B495" s="56">
        <v>9</v>
      </c>
      <c r="C495" s="56">
        <v>15</v>
      </c>
      <c r="D495" s="56">
        <v>30</v>
      </c>
      <c r="E495" s="56">
        <v>32</v>
      </c>
    </row>
    <row r="496" spans="1:5" ht="15" thickBot="1">
      <c r="A496" s="56">
        <v>2</v>
      </c>
      <c r="B496" s="56">
        <v>21</v>
      </c>
      <c r="C496" s="56">
        <v>29</v>
      </c>
      <c r="D496" s="56">
        <v>31</v>
      </c>
      <c r="E496" s="56">
        <v>32</v>
      </c>
    </row>
    <row r="497" spans="1:5" ht="15" thickBot="1">
      <c r="A497" s="56">
        <v>7</v>
      </c>
      <c r="B497" s="56">
        <v>14</v>
      </c>
      <c r="C497" s="56">
        <v>24</v>
      </c>
      <c r="D497" s="56">
        <v>25</v>
      </c>
      <c r="E497" s="56">
        <v>29</v>
      </c>
    </row>
    <row r="498" spans="1:5" ht="15" thickBot="1">
      <c r="A498" s="56">
        <v>7</v>
      </c>
      <c r="B498" s="56">
        <v>9</v>
      </c>
      <c r="C498" s="56">
        <v>30</v>
      </c>
      <c r="D498" s="56">
        <v>32</v>
      </c>
      <c r="E498" s="56">
        <v>34</v>
      </c>
    </row>
    <row r="499" spans="1:5" ht="15" thickBot="1">
      <c r="A499" s="56">
        <v>1</v>
      </c>
      <c r="B499" s="56">
        <v>2</v>
      </c>
      <c r="C499" s="56">
        <v>8</v>
      </c>
      <c r="D499" s="56">
        <v>18</v>
      </c>
      <c r="E499" s="56">
        <v>19</v>
      </c>
    </row>
    <row r="500" spans="1:5" ht="15" thickBot="1">
      <c r="A500" s="56">
        <v>5</v>
      </c>
      <c r="B500" s="56">
        <v>12</v>
      </c>
      <c r="C500" s="56">
        <v>25</v>
      </c>
      <c r="D500" s="56">
        <v>27</v>
      </c>
      <c r="E500" s="56">
        <v>30</v>
      </c>
    </row>
    <row r="501" spans="1:5" ht="15" thickBot="1">
      <c r="A501" s="56">
        <v>1</v>
      </c>
      <c r="B501" s="56">
        <v>6</v>
      </c>
      <c r="C501" s="56">
        <v>18</v>
      </c>
      <c r="D501" s="56">
        <v>23</v>
      </c>
      <c r="E501" s="56">
        <v>30</v>
      </c>
    </row>
    <row r="502" spans="1:5" ht="15" thickBot="1">
      <c r="A502" s="56">
        <v>2</v>
      </c>
      <c r="B502" s="56">
        <v>15</v>
      </c>
      <c r="C502" s="56">
        <v>20</v>
      </c>
      <c r="D502" s="56">
        <v>21</v>
      </c>
      <c r="E502" s="56">
        <v>32</v>
      </c>
    </row>
    <row r="503" spans="1:5" ht="15" thickBot="1">
      <c r="A503" s="56">
        <v>3</v>
      </c>
      <c r="B503" s="56">
        <v>7</v>
      </c>
      <c r="C503" s="56">
        <v>25</v>
      </c>
      <c r="D503" s="56">
        <v>27</v>
      </c>
      <c r="E503" s="56">
        <v>31</v>
      </c>
    </row>
    <row r="504" spans="1:5" ht="15" thickBot="1">
      <c r="A504" s="56">
        <v>8</v>
      </c>
      <c r="B504" s="56">
        <v>11</v>
      </c>
      <c r="C504" s="56">
        <v>15</v>
      </c>
      <c r="D504" s="56">
        <v>24</v>
      </c>
      <c r="E504" s="56">
        <v>30</v>
      </c>
    </row>
    <row r="505" spans="1:5" ht="15" thickBot="1">
      <c r="A505" s="56">
        <v>1</v>
      </c>
      <c r="B505" s="56">
        <v>6</v>
      </c>
      <c r="C505" s="56">
        <v>8</v>
      </c>
      <c r="D505" s="56">
        <v>10</v>
      </c>
      <c r="E505" s="56">
        <v>11</v>
      </c>
    </row>
    <row r="506" spans="1:5" ht="15" thickBot="1">
      <c r="A506" s="56">
        <v>1</v>
      </c>
      <c r="B506" s="56">
        <v>12</v>
      </c>
      <c r="C506" s="56">
        <v>18</v>
      </c>
      <c r="D506" s="56">
        <v>20</v>
      </c>
      <c r="E506" s="56">
        <v>23</v>
      </c>
    </row>
    <row r="507" spans="1:5" ht="15" thickBot="1">
      <c r="A507" s="56">
        <v>10</v>
      </c>
      <c r="B507" s="56">
        <v>15</v>
      </c>
      <c r="C507" s="56">
        <v>18</v>
      </c>
      <c r="D507" s="56">
        <v>19</v>
      </c>
      <c r="E507" s="56">
        <v>27</v>
      </c>
    </row>
    <row r="508" spans="1:5" ht="15" thickBot="1">
      <c r="A508" s="56">
        <v>1</v>
      </c>
      <c r="B508" s="56">
        <v>17</v>
      </c>
      <c r="C508" s="56">
        <v>21</v>
      </c>
      <c r="D508" s="56">
        <v>22</v>
      </c>
      <c r="E508" s="56">
        <v>24</v>
      </c>
    </row>
    <row r="509" spans="1:5" ht="15" thickBot="1">
      <c r="A509" s="56">
        <v>3</v>
      </c>
      <c r="B509" s="56">
        <v>13</v>
      </c>
      <c r="C509" s="56">
        <v>14</v>
      </c>
      <c r="D509" s="56">
        <v>22</v>
      </c>
      <c r="E509" s="56">
        <v>32</v>
      </c>
    </row>
    <row r="510" spans="1:5" ht="15" thickBot="1">
      <c r="A510" s="56">
        <v>1</v>
      </c>
      <c r="B510" s="56">
        <v>5</v>
      </c>
      <c r="C510" s="56">
        <v>7</v>
      </c>
      <c r="D510" s="56">
        <v>19</v>
      </c>
      <c r="E510" s="56">
        <v>26</v>
      </c>
    </row>
    <row r="511" spans="1:5" ht="15" thickBot="1">
      <c r="A511" s="56">
        <v>9</v>
      </c>
      <c r="B511" s="56">
        <v>11</v>
      </c>
      <c r="C511" s="56">
        <v>26</v>
      </c>
      <c r="D511" s="56">
        <v>33</v>
      </c>
      <c r="E511" s="56">
        <v>34</v>
      </c>
    </row>
    <row r="512" spans="1:5" ht="15" thickBot="1">
      <c r="A512" s="56">
        <v>8</v>
      </c>
      <c r="B512" s="56">
        <v>16</v>
      </c>
      <c r="C512" s="56">
        <v>17</v>
      </c>
      <c r="D512" s="56">
        <v>26</v>
      </c>
      <c r="E512" s="56">
        <v>30</v>
      </c>
    </row>
    <row r="513" spans="1:5" ht="15" thickBot="1">
      <c r="A513" s="56">
        <v>1</v>
      </c>
      <c r="B513" s="56">
        <v>6</v>
      </c>
      <c r="C513" s="56">
        <v>9</v>
      </c>
      <c r="D513" s="56">
        <v>23</v>
      </c>
      <c r="E513" s="56">
        <v>27</v>
      </c>
    </row>
    <row r="514" spans="1:5" ht="15" thickBot="1">
      <c r="A514" s="56">
        <v>5</v>
      </c>
      <c r="B514" s="56">
        <v>13</v>
      </c>
      <c r="C514" s="56">
        <v>14</v>
      </c>
      <c r="D514" s="56">
        <v>19</v>
      </c>
      <c r="E514" s="56">
        <v>33</v>
      </c>
    </row>
    <row r="515" spans="1:5" ht="15" thickBot="1">
      <c r="A515" s="56">
        <v>6</v>
      </c>
      <c r="B515" s="56">
        <v>8</v>
      </c>
      <c r="C515" s="56">
        <v>10</v>
      </c>
      <c r="D515" s="56">
        <v>14</v>
      </c>
      <c r="E515" s="56">
        <v>22</v>
      </c>
    </row>
    <row r="516" spans="1:5" ht="15" thickBot="1">
      <c r="A516" s="56">
        <v>2</v>
      </c>
      <c r="B516" s="56">
        <v>10</v>
      </c>
      <c r="C516" s="56">
        <v>18</v>
      </c>
      <c r="D516" s="56">
        <v>29</v>
      </c>
      <c r="E516" s="56">
        <v>32</v>
      </c>
    </row>
    <row r="517" spans="1:5" ht="15" thickBot="1">
      <c r="A517" s="56">
        <v>3</v>
      </c>
      <c r="B517" s="56">
        <v>11</v>
      </c>
      <c r="C517" s="56">
        <v>19</v>
      </c>
      <c r="D517" s="56">
        <v>21</v>
      </c>
      <c r="E517" s="56">
        <v>30</v>
      </c>
    </row>
    <row r="518" spans="1:5" ht="15" thickBot="1">
      <c r="A518" s="56">
        <v>9</v>
      </c>
      <c r="B518" s="56">
        <v>15</v>
      </c>
      <c r="C518" s="56">
        <v>18</v>
      </c>
      <c r="D518" s="56">
        <v>19</v>
      </c>
      <c r="E518" s="56">
        <v>30</v>
      </c>
    </row>
    <row r="519" spans="1:5" ht="15" thickBot="1">
      <c r="A519" s="56">
        <v>1</v>
      </c>
      <c r="B519" s="56">
        <v>9</v>
      </c>
      <c r="C519" s="56">
        <v>13</v>
      </c>
      <c r="D519" s="56">
        <v>22</v>
      </c>
      <c r="E519" s="56">
        <v>30</v>
      </c>
    </row>
    <row r="520" spans="1:5" ht="15" thickBot="1">
      <c r="A520" s="56">
        <v>6</v>
      </c>
      <c r="B520" s="56">
        <v>7</v>
      </c>
      <c r="C520" s="56">
        <v>11</v>
      </c>
      <c r="D520" s="56">
        <v>16</v>
      </c>
      <c r="E520" s="56">
        <v>23</v>
      </c>
    </row>
    <row r="521" spans="1:5" ht="15" thickBot="1">
      <c r="A521" s="56">
        <v>6</v>
      </c>
      <c r="B521" s="56">
        <v>14</v>
      </c>
      <c r="C521" s="56">
        <v>23</v>
      </c>
      <c r="D521" s="56">
        <v>24</v>
      </c>
      <c r="E521" s="56">
        <v>26</v>
      </c>
    </row>
    <row r="522" spans="1:5" ht="15" thickBot="1">
      <c r="A522" s="56">
        <v>2</v>
      </c>
      <c r="B522" s="56">
        <v>6</v>
      </c>
      <c r="C522" s="56">
        <v>18</v>
      </c>
      <c r="D522" s="56">
        <v>26</v>
      </c>
      <c r="E522" s="56">
        <v>33</v>
      </c>
    </row>
    <row r="523" spans="1:5" ht="15" thickBot="1">
      <c r="A523" s="56">
        <v>8</v>
      </c>
      <c r="B523" s="56">
        <v>10</v>
      </c>
      <c r="C523" s="56">
        <v>18</v>
      </c>
      <c r="D523" s="56">
        <v>24</v>
      </c>
      <c r="E523" s="56">
        <v>32</v>
      </c>
    </row>
    <row r="524" spans="1:5" ht="15" thickBot="1">
      <c r="A524" s="56">
        <v>5</v>
      </c>
      <c r="B524" s="56">
        <v>6</v>
      </c>
      <c r="C524" s="56">
        <v>21</v>
      </c>
      <c r="D524" s="56">
        <v>22</v>
      </c>
      <c r="E524" s="56">
        <v>26</v>
      </c>
    </row>
    <row r="525" spans="1:5" ht="15" thickBot="1">
      <c r="A525" s="56">
        <v>1</v>
      </c>
      <c r="B525" s="56">
        <v>3</v>
      </c>
      <c r="C525" s="56">
        <v>4</v>
      </c>
      <c r="D525" s="56">
        <v>7</v>
      </c>
      <c r="E525" s="56">
        <v>8</v>
      </c>
    </row>
    <row r="526" spans="1:5" ht="15" thickBot="1">
      <c r="A526" s="56">
        <v>8</v>
      </c>
      <c r="B526" s="56">
        <v>13</v>
      </c>
      <c r="C526" s="56">
        <v>26</v>
      </c>
      <c r="D526" s="56">
        <v>27</v>
      </c>
      <c r="E526" s="56">
        <v>33</v>
      </c>
    </row>
    <row r="527" spans="1:5" ht="15" thickBot="1">
      <c r="A527" s="56">
        <v>8</v>
      </c>
      <c r="B527" s="56">
        <v>16</v>
      </c>
      <c r="C527" s="56">
        <v>22</v>
      </c>
      <c r="D527" s="56">
        <v>25</v>
      </c>
      <c r="E527" s="56">
        <v>30</v>
      </c>
    </row>
    <row r="528" spans="1:5" ht="15" thickBot="1">
      <c r="A528" s="56">
        <v>2</v>
      </c>
      <c r="B528" s="56">
        <v>4</v>
      </c>
      <c r="C528" s="56">
        <v>21</v>
      </c>
      <c r="D528" s="56">
        <v>23</v>
      </c>
      <c r="E528" s="56">
        <v>30</v>
      </c>
    </row>
    <row r="529" spans="1:5" ht="15" thickBot="1">
      <c r="A529" s="56">
        <v>3</v>
      </c>
      <c r="B529" s="56">
        <v>25</v>
      </c>
      <c r="C529" s="56">
        <v>28</v>
      </c>
      <c r="D529" s="56">
        <v>30</v>
      </c>
      <c r="E529" s="56">
        <v>31</v>
      </c>
    </row>
    <row r="530" spans="1:5" ht="15" thickBot="1">
      <c r="A530" s="56">
        <v>1</v>
      </c>
      <c r="B530" s="56">
        <v>12</v>
      </c>
      <c r="C530" s="56">
        <v>22</v>
      </c>
      <c r="D530" s="56">
        <v>23</v>
      </c>
      <c r="E530" s="56">
        <v>30</v>
      </c>
    </row>
    <row r="531" spans="1:5" ht="15" thickBot="1">
      <c r="A531" s="56">
        <v>10</v>
      </c>
      <c r="B531" s="56">
        <v>13</v>
      </c>
      <c r="C531" s="56">
        <v>16</v>
      </c>
      <c r="D531" s="56">
        <v>31</v>
      </c>
      <c r="E531" s="56">
        <v>33</v>
      </c>
    </row>
    <row r="532" spans="1:5" ht="15" thickBot="1">
      <c r="A532" s="56">
        <v>5</v>
      </c>
      <c r="B532" s="56">
        <v>17</v>
      </c>
      <c r="C532" s="56">
        <v>24</v>
      </c>
      <c r="D532" s="56">
        <v>25</v>
      </c>
      <c r="E532" s="56">
        <v>28</v>
      </c>
    </row>
    <row r="533" spans="1:5" ht="15" thickBot="1">
      <c r="A533" s="56">
        <v>6</v>
      </c>
      <c r="B533" s="56">
        <v>15</v>
      </c>
      <c r="C533" s="56">
        <v>16</v>
      </c>
      <c r="D533" s="56">
        <v>17</v>
      </c>
      <c r="E533" s="56">
        <v>31</v>
      </c>
    </row>
    <row r="534" spans="1:5" ht="15" thickBot="1">
      <c r="A534" s="56">
        <v>4</v>
      </c>
      <c r="B534" s="56">
        <v>5</v>
      </c>
      <c r="C534" s="56">
        <v>11</v>
      </c>
      <c r="D534" s="56">
        <v>15</v>
      </c>
      <c r="E534" s="56">
        <v>21</v>
      </c>
    </row>
    <row r="535" spans="1:5" ht="15" thickBot="1">
      <c r="A535" s="56">
        <v>2</v>
      </c>
      <c r="B535" s="56">
        <v>7</v>
      </c>
      <c r="C535" s="56">
        <v>11</v>
      </c>
      <c r="D535" s="56">
        <v>32</v>
      </c>
      <c r="E535" s="56">
        <v>33</v>
      </c>
    </row>
    <row r="536" spans="1:5" ht="15" thickBot="1">
      <c r="A536" s="56">
        <v>1</v>
      </c>
      <c r="B536" s="56">
        <v>12</v>
      </c>
      <c r="C536" s="56">
        <v>20</v>
      </c>
      <c r="D536" s="56">
        <v>21</v>
      </c>
      <c r="E536" s="56">
        <v>25</v>
      </c>
    </row>
    <row r="537" spans="1:5" ht="15" thickBot="1">
      <c r="A537" s="56">
        <v>2</v>
      </c>
      <c r="B537" s="56">
        <v>13</v>
      </c>
      <c r="C537" s="56">
        <v>17</v>
      </c>
      <c r="D537" s="56">
        <v>22</v>
      </c>
      <c r="E537" s="56">
        <v>24</v>
      </c>
    </row>
    <row r="538" spans="1:5" ht="15" thickBot="1">
      <c r="A538" s="56">
        <v>3</v>
      </c>
      <c r="B538" s="56">
        <v>4</v>
      </c>
      <c r="C538" s="56">
        <v>8</v>
      </c>
      <c r="D538" s="56">
        <v>28</v>
      </c>
      <c r="E538" s="56">
        <v>31</v>
      </c>
    </row>
    <row r="539" spans="1:5" ht="15" thickBot="1">
      <c r="A539" s="56">
        <v>12</v>
      </c>
      <c r="B539" s="56">
        <v>17</v>
      </c>
      <c r="C539" s="56">
        <v>18</v>
      </c>
      <c r="D539" s="56">
        <v>19</v>
      </c>
      <c r="E539" s="56">
        <v>30</v>
      </c>
    </row>
    <row r="540" spans="1:5" ht="15" thickBot="1">
      <c r="A540" s="56">
        <v>7</v>
      </c>
      <c r="B540" s="56">
        <v>14</v>
      </c>
      <c r="C540" s="56">
        <v>25</v>
      </c>
      <c r="D540" s="56">
        <v>28</v>
      </c>
      <c r="E540" s="56">
        <v>32</v>
      </c>
    </row>
    <row r="541" spans="1:5" ht="15" thickBot="1">
      <c r="A541" s="56">
        <v>2</v>
      </c>
      <c r="B541" s="56">
        <v>6</v>
      </c>
      <c r="C541" s="56">
        <v>16</v>
      </c>
      <c r="D541" s="56">
        <v>17</v>
      </c>
      <c r="E541" s="56">
        <v>32</v>
      </c>
    </row>
    <row r="542" spans="1:5" ht="15" thickBot="1">
      <c r="A542" s="56">
        <v>8</v>
      </c>
      <c r="B542" s="56">
        <v>18</v>
      </c>
      <c r="C542" s="56">
        <v>24</v>
      </c>
      <c r="D542" s="56">
        <v>28</v>
      </c>
      <c r="E542" s="56">
        <v>29</v>
      </c>
    </row>
    <row r="543" spans="1:5" ht="15" thickBot="1">
      <c r="A543" s="56">
        <v>14</v>
      </c>
      <c r="B543" s="56">
        <v>21</v>
      </c>
      <c r="C543" s="56">
        <v>24</v>
      </c>
      <c r="D543" s="56">
        <v>27</v>
      </c>
      <c r="E543" s="56">
        <v>31</v>
      </c>
    </row>
    <row r="544" spans="1:5" ht="15" thickBot="1">
      <c r="A544" s="56">
        <v>6</v>
      </c>
      <c r="B544" s="56">
        <v>20</v>
      </c>
      <c r="C544" s="56">
        <v>21</v>
      </c>
      <c r="D544" s="56">
        <v>23</v>
      </c>
      <c r="E544" s="56">
        <v>29</v>
      </c>
    </row>
    <row r="545" spans="1:5" ht="15" thickBot="1">
      <c r="A545" s="56">
        <v>5</v>
      </c>
      <c r="B545" s="56">
        <v>18</v>
      </c>
      <c r="C545" s="56">
        <v>23</v>
      </c>
      <c r="D545" s="56">
        <v>28</v>
      </c>
      <c r="E545" s="56">
        <v>32</v>
      </c>
    </row>
    <row r="546" spans="1:5" ht="15" thickBot="1">
      <c r="A546" s="56">
        <v>17</v>
      </c>
      <c r="B546" s="56">
        <v>18</v>
      </c>
      <c r="C546" s="56">
        <v>20</v>
      </c>
      <c r="D546" s="56">
        <v>27</v>
      </c>
      <c r="E546" s="56">
        <v>32</v>
      </c>
    </row>
    <row r="547" spans="1:5" ht="15" thickBot="1">
      <c r="A547" s="56">
        <v>12</v>
      </c>
      <c r="B547" s="56">
        <v>17</v>
      </c>
      <c r="C547" s="56">
        <v>22</v>
      </c>
      <c r="D547" s="56">
        <v>24</v>
      </c>
      <c r="E547" s="56">
        <v>26</v>
      </c>
    </row>
    <row r="548" spans="1:5" ht="15" thickBot="1">
      <c r="A548" s="56">
        <v>12</v>
      </c>
      <c r="B548" s="56">
        <v>14</v>
      </c>
      <c r="C548" s="56">
        <v>16</v>
      </c>
      <c r="D548" s="56">
        <v>20</v>
      </c>
      <c r="E548" s="56">
        <v>25</v>
      </c>
    </row>
    <row r="549" spans="1:5" ht="15" thickBot="1">
      <c r="A549" s="56">
        <v>7</v>
      </c>
      <c r="B549" s="56">
        <v>10</v>
      </c>
      <c r="C549" s="56">
        <v>12</v>
      </c>
      <c r="D549" s="56">
        <v>13</v>
      </c>
      <c r="E549" s="56">
        <v>33</v>
      </c>
    </row>
    <row r="550" spans="1:5" ht="15" thickBot="1">
      <c r="A550" s="56">
        <v>2</v>
      </c>
      <c r="B550" s="56">
        <v>5</v>
      </c>
      <c r="C550" s="56">
        <v>15</v>
      </c>
      <c r="D550" s="56">
        <v>17</v>
      </c>
      <c r="E550" s="56">
        <v>26</v>
      </c>
    </row>
    <row r="551" spans="1:5" ht="15" thickBot="1">
      <c r="A551" s="56">
        <v>9</v>
      </c>
      <c r="B551" s="56">
        <v>10</v>
      </c>
      <c r="C551" s="56">
        <v>15</v>
      </c>
      <c r="D551" s="56">
        <v>16</v>
      </c>
      <c r="E551" s="56">
        <v>34</v>
      </c>
    </row>
    <row r="552" spans="1:5" ht="15" thickBot="1">
      <c r="A552" s="56">
        <v>2</v>
      </c>
      <c r="B552" s="56">
        <v>12</v>
      </c>
      <c r="C552" s="56">
        <v>24</v>
      </c>
      <c r="D552" s="56">
        <v>31</v>
      </c>
      <c r="E552" s="56">
        <v>34</v>
      </c>
    </row>
    <row r="553" spans="1:5" ht="15" thickBot="1">
      <c r="A553" s="56">
        <v>14</v>
      </c>
      <c r="B553" s="56">
        <v>18</v>
      </c>
      <c r="C553" s="56">
        <v>20</v>
      </c>
      <c r="D553" s="56">
        <v>22</v>
      </c>
      <c r="E553" s="56">
        <v>29</v>
      </c>
    </row>
    <row r="554" spans="1:5" ht="15" thickBot="1">
      <c r="A554" s="56">
        <v>1</v>
      </c>
      <c r="B554" s="56">
        <v>3</v>
      </c>
      <c r="C554" s="56">
        <v>7</v>
      </c>
      <c r="D554" s="56">
        <v>18</v>
      </c>
      <c r="E554" s="56">
        <v>20</v>
      </c>
    </row>
    <row r="555" spans="1:5" ht="15" thickBot="1">
      <c r="A555" s="56">
        <v>11</v>
      </c>
      <c r="B555" s="56">
        <v>19</v>
      </c>
      <c r="C555" s="56">
        <v>24</v>
      </c>
      <c r="D555" s="56">
        <v>25</v>
      </c>
      <c r="E555" s="56">
        <v>26</v>
      </c>
    </row>
    <row r="556" spans="1:5" ht="15" thickBot="1">
      <c r="A556" s="56">
        <v>13</v>
      </c>
      <c r="B556" s="56">
        <v>16</v>
      </c>
      <c r="C556" s="56">
        <v>19</v>
      </c>
      <c r="D556" s="56">
        <v>29</v>
      </c>
      <c r="E556" s="56">
        <v>34</v>
      </c>
    </row>
    <row r="557" spans="1:5" ht="15" thickBot="1">
      <c r="A557" s="56">
        <v>4</v>
      </c>
      <c r="B557" s="56">
        <v>10</v>
      </c>
      <c r="C557" s="56">
        <v>16</v>
      </c>
      <c r="D557" s="56">
        <v>24</v>
      </c>
      <c r="E557" s="56">
        <v>25</v>
      </c>
    </row>
    <row r="558" spans="1:5" ht="15" thickBot="1">
      <c r="A558" s="56">
        <v>3</v>
      </c>
      <c r="B558" s="56">
        <v>8</v>
      </c>
      <c r="C558" s="56">
        <v>11</v>
      </c>
      <c r="D558" s="56">
        <v>13</v>
      </c>
      <c r="E558" s="56">
        <v>19</v>
      </c>
    </row>
    <row r="559" spans="1:5" ht="15" thickBot="1">
      <c r="A559" s="56">
        <v>2</v>
      </c>
      <c r="B559" s="56">
        <v>6</v>
      </c>
      <c r="C559" s="56">
        <v>9</v>
      </c>
      <c r="D559" s="56">
        <v>15</v>
      </c>
      <c r="E559" s="56">
        <v>30</v>
      </c>
    </row>
    <row r="560" spans="1:5" ht="15" thickBot="1">
      <c r="A560" s="56">
        <v>10</v>
      </c>
      <c r="B560" s="56">
        <v>12</v>
      </c>
      <c r="C560" s="56">
        <v>14</v>
      </c>
      <c r="D560" s="56">
        <v>22</v>
      </c>
      <c r="E560" s="56">
        <v>28</v>
      </c>
    </row>
    <row r="561" spans="1:5" ht="15" thickBot="1">
      <c r="A561" s="56">
        <v>4</v>
      </c>
      <c r="B561" s="56">
        <v>9</v>
      </c>
      <c r="C561" s="56">
        <v>23</v>
      </c>
      <c r="D561" s="56">
        <v>27</v>
      </c>
      <c r="E561" s="56">
        <v>31</v>
      </c>
    </row>
    <row r="562" spans="1:5" ht="15" thickBot="1">
      <c r="A562" s="56">
        <v>4</v>
      </c>
      <c r="B562" s="56">
        <v>14</v>
      </c>
      <c r="C562" s="56">
        <v>22</v>
      </c>
      <c r="D562" s="56">
        <v>25</v>
      </c>
      <c r="E562" s="56">
        <v>28</v>
      </c>
    </row>
    <row r="563" spans="1:5" ht="15" thickBot="1">
      <c r="A563" s="56">
        <v>2</v>
      </c>
      <c r="B563" s="56">
        <v>8</v>
      </c>
      <c r="C563" s="56">
        <v>9</v>
      </c>
      <c r="D563" s="56">
        <v>25</v>
      </c>
      <c r="E563" s="56">
        <v>27</v>
      </c>
    </row>
    <row r="564" spans="1:5" ht="15" thickBot="1">
      <c r="A564" s="56">
        <v>2</v>
      </c>
      <c r="B564" s="56">
        <v>7</v>
      </c>
      <c r="C564" s="56">
        <v>14</v>
      </c>
      <c r="D564" s="56">
        <v>18</v>
      </c>
      <c r="E564" s="56">
        <v>30</v>
      </c>
    </row>
    <row r="565" spans="1:5" ht="15" thickBot="1">
      <c r="A565" s="56">
        <v>22</v>
      </c>
      <c r="B565" s="56">
        <v>28</v>
      </c>
      <c r="C565" s="56">
        <v>29</v>
      </c>
      <c r="D565" s="56">
        <v>30</v>
      </c>
      <c r="E565" s="56">
        <v>32</v>
      </c>
    </row>
    <row r="566" spans="1:5" ht="15" thickBot="1">
      <c r="A566" s="56">
        <v>2</v>
      </c>
      <c r="B566" s="56">
        <v>11</v>
      </c>
      <c r="C566" s="56">
        <v>14</v>
      </c>
      <c r="D566" s="56">
        <v>18</v>
      </c>
      <c r="E566" s="56">
        <v>31</v>
      </c>
    </row>
    <row r="567" spans="1:5" ht="15" thickBot="1">
      <c r="A567" s="56">
        <v>11</v>
      </c>
      <c r="B567" s="56">
        <v>20</v>
      </c>
      <c r="C567" s="56">
        <v>21</v>
      </c>
      <c r="D567" s="56">
        <v>22</v>
      </c>
      <c r="E567" s="56">
        <v>34</v>
      </c>
    </row>
    <row r="568" spans="1:5" ht="15" thickBot="1">
      <c r="A568" s="56">
        <v>3</v>
      </c>
      <c r="B568" s="56">
        <v>5</v>
      </c>
      <c r="C568" s="56">
        <v>12</v>
      </c>
      <c r="D568" s="56">
        <v>13</v>
      </c>
      <c r="E568" s="56">
        <v>31</v>
      </c>
    </row>
    <row r="569" spans="1:5" ht="15" thickBot="1">
      <c r="A569" s="56">
        <v>2</v>
      </c>
      <c r="B569" s="56">
        <v>17</v>
      </c>
      <c r="C569" s="56">
        <v>27</v>
      </c>
      <c r="D569" s="56">
        <v>32</v>
      </c>
      <c r="E569" s="56">
        <v>34</v>
      </c>
    </row>
    <row r="570" spans="1:5" ht="15" thickBot="1">
      <c r="A570" s="56">
        <v>3</v>
      </c>
      <c r="B570" s="56">
        <v>6</v>
      </c>
      <c r="C570" s="56">
        <v>9</v>
      </c>
      <c r="D570" s="56">
        <v>24</v>
      </c>
      <c r="E570" s="56">
        <v>29</v>
      </c>
    </row>
    <row r="571" spans="1:5" ht="15" thickBot="1">
      <c r="A571" s="56">
        <v>7</v>
      </c>
      <c r="B571" s="56">
        <v>11</v>
      </c>
      <c r="C571" s="56">
        <v>22</v>
      </c>
      <c r="D571" s="56">
        <v>24</v>
      </c>
      <c r="E571" s="56">
        <v>31</v>
      </c>
    </row>
    <row r="572" spans="1:5" ht="15" thickBot="1">
      <c r="A572" s="56">
        <v>8</v>
      </c>
      <c r="B572" s="56">
        <v>9</v>
      </c>
      <c r="C572" s="56">
        <v>10</v>
      </c>
      <c r="D572" s="56">
        <v>14</v>
      </c>
      <c r="E572" s="56">
        <v>17</v>
      </c>
    </row>
    <row r="573" spans="1:5" ht="15" thickBot="1">
      <c r="A573" s="56">
        <v>9</v>
      </c>
      <c r="B573" s="56">
        <v>21</v>
      </c>
      <c r="C573" s="56">
        <v>22</v>
      </c>
      <c r="D573" s="56">
        <v>25</v>
      </c>
      <c r="E573" s="56">
        <v>31</v>
      </c>
    </row>
    <row r="574" spans="1:5" ht="15" thickBot="1">
      <c r="A574" s="56">
        <v>8</v>
      </c>
      <c r="B574" s="56">
        <v>9</v>
      </c>
      <c r="C574" s="56">
        <v>15</v>
      </c>
      <c r="D574" s="56">
        <v>20</v>
      </c>
      <c r="E574" s="56">
        <v>30</v>
      </c>
    </row>
    <row r="575" spans="1:5" ht="15" thickBot="1">
      <c r="A575" s="56">
        <v>2</v>
      </c>
      <c r="B575" s="56">
        <v>3</v>
      </c>
      <c r="C575" s="56">
        <v>7</v>
      </c>
      <c r="D575" s="56">
        <v>11</v>
      </c>
      <c r="E575" s="56">
        <v>15</v>
      </c>
    </row>
    <row r="576" spans="1:5" ht="15" thickBot="1">
      <c r="A576" s="56">
        <v>14</v>
      </c>
      <c r="B576" s="56">
        <v>16</v>
      </c>
      <c r="C576" s="56">
        <v>19</v>
      </c>
      <c r="D576" s="56">
        <v>25</v>
      </c>
      <c r="E576" s="56">
        <v>34</v>
      </c>
    </row>
    <row r="577" spans="1:5" ht="15" thickBot="1">
      <c r="A577" s="56">
        <v>6</v>
      </c>
      <c r="B577" s="56">
        <v>12</v>
      </c>
      <c r="C577" s="56">
        <v>14</v>
      </c>
      <c r="D577" s="56">
        <v>24</v>
      </c>
      <c r="E577" s="56">
        <v>30</v>
      </c>
    </row>
    <row r="578" spans="1:5" ht="15" thickBot="1">
      <c r="A578" s="56">
        <v>2</v>
      </c>
      <c r="B578" s="56">
        <v>6</v>
      </c>
      <c r="C578" s="56">
        <v>24</v>
      </c>
      <c r="D578" s="56">
        <v>29</v>
      </c>
      <c r="E578" s="56">
        <v>30</v>
      </c>
    </row>
    <row r="579" spans="1:5" ht="15" thickBot="1">
      <c r="A579" s="56">
        <v>18</v>
      </c>
      <c r="B579" s="56">
        <v>19</v>
      </c>
      <c r="C579" s="56">
        <v>27</v>
      </c>
      <c r="D579" s="56">
        <v>32</v>
      </c>
      <c r="E579" s="56">
        <v>34</v>
      </c>
    </row>
    <row r="580" spans="1:5" ht="15" thickBot="1">
      <c r="A580" s="56">
        <v>4</v>
      </c>
      <c r="B580" s="56">
        <v>7</v>
      </c>
      <c r="C580" s="56">
        <v>20</v>
      </c>
      <c r="D580" s="56">
        <v>26</v>
      </c>
      <c r="E580" s="56">
        <v>27</v>
      </c>
    </row>
    <row r="581" spans="1:5" ht="15" thickBot="1">
      <c r="A581" s="56">
        <v>17</v>
      </c>
      <c r="B581" s="56">
        <v>19</v>
      </c>
      <c r="C581" s="56">
        <v>24</v>
      </c>
      <c r="D581" s="56">
        <v>32</v>
      </c>
      <c r="E581" s="56">
        <v>34</v>
      </c>
    </row>
    <row r="582" spans="1:5" ht="15" thickBot="1">
      <c r="A582" s="56">
        <v>3</v>
      </c>
      <c r="B582" s="56">
        <v>10</v>
      </c>
      <c r="C582" s="56">
        <v>12</v>
      </c>
      <c r="D582" s="56">
        <v>13</v>
      </c>
      <c r="E582" s="56">
        <v>17</v>
      </c>
    </row>
    <row r="583" spans="1:5" ht="15" thickBot="1">
      <c r="A583" s="56">
        <v>10</v>
      </c>
      <c r="B583" s="56">
        <v>14</v>
      </c>
      <c r="C583" s="56">
        <v>23</v>
      </c>
      <c r="D583" s="56">
        <v>30</v>
      </c>
      <c r="E583" s="56">
        <v>34</v>
      </c>
    </row>
    <row r="584" spans="1:5">
      <c r="A584" s="57">
        <v>10</v>
      </c>
      <c r="B584" s="57">
        <v>12</v>
      </c>
      <c r="C584" s="57">
        <v>16</v>
      </c>
      <c r="D584" s="57">
        <v>26</v>
      </c>
      <c r="E584" s="57">
        <v>29</v>
      </c>
    </row>
  </sheetData>
  <conditionalFormatting sqref="A1:E1048576">
    <cfRule type="cellIs" dxfId="1" priority="1" operator="equal">
      <formula>32</formula>
    </cfRule>
    <cfRule type="cellIs" dxfId="0" priority="2"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7BB7-DABF-4192-8A98-14270287322B}">
  <dimension ref="A1:AD53"/>
  <sheetViews>
    <sheetView topLeftCell="A20" zoomScaleNormal="100" workbookViewId="0">
      <selection activeCell="A43" sqref="A43"/>
    </sheetView>
  </sheetViews>
  <sheetFormatPr defaultRowHeight="14.4"/>
  <cols>
    <col min="1" max="1" width="5.21875" customWidth="1"/>
    <col min="2" max="5" width="3" bestFit="1" customWidth="1"/>
    <col min="6" max="6" width="6.21875" bestFit="1" customWidth="1"/>
  </cols>
  <sheetData>
    <row r="1" spans="1:30" ht="15" thickBot="1">
      <c r="A1" s="3">
        <v>5</v>
      </c>
      <c r="B1" s="3">
        <v>11</v>
      </c>
      <c r="C1" s="3">
        <v>14</v>
      </c>
      <c r="D1" s="3">
        <v>22</v>
      </c>
      <c r="E1" s="3">
        <v>29</v>
      </c>
      <c r="F1" s="3" t="s">
        <v>56</v>
      </c>
    </row>
    <row r="2" spans="1:30" ht="15" thickBot="1">
      <c r="A2" s="15" t="s">
        <v>57</v>
      </c>
      <c r="B2" s="17" t="s">
        <v>58</v>
      </c>
    </row>
    <row r="3" spans="1:30">
      <c r="B3" s="18" t="s">
        <v>59</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20"/>
    </row>
    <row r="4" spans="1:30">
      <c r="A4" s="21" t="s">
        <v>60</v>
      </c>
      <c r="AD4" s="22"/>
    </row>
    <row r="5" spans="1:30">
      <c r="A5" s="21" t="s">
        <v>61</v>
      </c>
      <c r="AD5" s="22"/>
    </row>
    <row r="6" spans="1:30" ht="15" thickBot="1">
      <c r="A6" s="23" t="s">
        <v>62</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5"/>
    </row>
    <row r="7" spans="1:30" ht="15" thickBot="1">
      <c r="A7" t="s">
        <v>63</v>
      </c>
    </row>
    <row r="8" spans="1:30" ht="15" thickBot="1">
      <c r="A8" s="28" t="s">
        <v>102</v>
      </c>
      <c r="B8" s="29"/>
      <c r="C8" s="29"/>
      <c r="D8" s="29"/>
      <c r="E8" s="29"/>
      <c r="F8" s="29"/>
      <c r="G8" s="29"/>
      <c r="H8" s="29"/>
      <c r="I8" s="30"/>
    </row>
    <row r="10" spans="1:30" ht="15" thickBot="1">
      <c r="A10" s="15" t="s">
        <v>64</v>
      </c>
    </row>
    <row r="11" spans="1:30">
      <c r="A11" s="31" t="s">
        <v>65</v>
      </c>
      <c r="B11" s="19"/>
      <c r="C11" s="19"/>
      <c r="D11" s="19"/>
      <c r="E11" s="19"/>
      <c r="F11" s="19"/>
      <c r="G11" s="19"/>
      <c r="H11" s="19"/>
      <c r="I11" s="19"/>
      <c r="J11" s="19"/>
      <c r="K11" s="19"/>
      <c r="L11" s="19"/>
      <c r="M11" s="19"/>
      <c r="N11" s="19"/>
      <c r="O11" s="19"/>
      <c r="P11" s="19"/>
      <c r="Q11" s="20"/>
    </row>
    <row r="12" spans="1:30">
      <c r="A12" s="21" t="s">
        <v>66</v>
      </c>
      <c r="Q12" s="22"/>
    </row>
    <row r="13" spans="1:30">
      <c r="A13" s="21" t="s">
        <v>67</v>
      </c>
      <c r="Q13" s="22"/>
    </row>
    <row r="14" spans="1:30">
      <c r="A14" s="21" t="s">
        <v>68</v>
      </c>
      <c r="Q14" s="22"/>
    </row>
    <row r="15" spans="1:30" ht="15" thickBot="1">
      <c r="A15" s="32" t="s">
        <v>69</v>
      </c>
      <c r="B15" s="24"/>
      <c r="C15" s="24"/>
      <c r="D15" s="24"/>
      <c r="E15" s="24"/>
      <c r="F15" s="24"/>
      <c r="G15" s="24"/>
      <c r="H15" s="24"/>
      <c r="I15" s="24"/>
      <c r="J15" s="24"/>
      <c r="K15" s="24"/>
      <c r="L15" s="24"/>
      <c r="M15" s="24"/>
      <c r="N15" s="24"/>
      <c r="O15" s="24"/>
      <c r="P15" s="24"/>
      <c r="Q15" s="25"/>
    </row>
    <row r="16" spans="1:30">
      <c r="A16" s="21" t="s">
        <v>63</v>
      </c>
    </row>
    <row r="17" spans="1:25">
      <c r="A17" s="33" t="s">
        <v>70</v>
      </c>
      <c r="B17" s="3"/>
      <c r="C17" s="3"/>
      <c r="D17" s="3"/>
      <c r="E17" s="3"/>
      <c r="F17" s="3"/>
      <c r="G17" s="3"/>
      <c r="H17" s="3"/>
    </row>
    <row r="19" spans="1:25" ht="15" thickBot="1">
      <c r="A19" s="15" t="s">
        <v>71</v>
      </c>
      <c r="B19" s="15"/>
    </row>
    <row r="20" spans="1:25">
      <c r="A20" s="31" t="s">
        <v>72</v>
      </c>
      <c r="B20" s="19"/>
      <c r="C20" s="19"/>
      <c r="D20" s="19"/>
      <c r="E20" s="19"/>
      <c r="F20" s="19"/>
      <c r="G20" s="19"/>
      <c r="H20" s="19"/>
      <c r="I20" s="19"/>
      <c r="J20" s="19"/>
      <c r="K20" s="19"/>
      <c r="L20" s="19"/>
      <c r="M20" s="19"/>
      <c r="N20" s="19"/>
      <c r="O20" s="19"/>
      <c r="P20" s="19"/>
      <c r="Q20" s="20"/>
    </row>
    <row r="21" spans="1:25">
      <c r="A21" s="21" t="s">
        <v>73</v>
      </c>
      <c r="Q21" s="22"/>
    </row>
    <row r="22" spans="1:25">
      <c r="A22" s="35" t="s">
        <v>74</v>
      </c>
      <c r="Q22" s="22"/>
    </row>
    <row r="23" spans="1:25">
      <c r="A23" s="35" t="s">
        <v>75</v>
      </c>
      <c r="Q23" s="22"/>
    </row>
    <row r="24" spans="1:25">
      <c r="A24" s="35" t="s">
        <v>76</v>
      </c>
      <c r="Q24" s="22"/>
    </row>
    <row r="25" spans="1:25" ht="15" thickBot="1">
      <c r="A25" s="23" t="s">
        <v>77</v>
      </c>
      <c r="B25" s="24"/>
      <c r="C25" s="24"/>
      <c r="D25" s="24"/>
      <c r="E25" s="24"/>
      <c r="F25" s="24"/>
      <c r="G25" s="24"/>
      <c r="H25" s="24"/>
      <c r="I25" s="24"/>
      <c r="J25" s="24"/>
      <c r="K25" s="24"/>
      <c r="L25" s="24"/>
      <c r="M25" s="24"/>
      <c r="N25" s="24"/>
      <c r="O25" s="24"/>
      <c r="P25" s="24"/>
      <c r="Q25" s="25"/>
    </row>
    <row r="26" spans="1:25">
      <c r="A26" s="35" t="s">
        <v>63</v>
      </c>
    </row>
    <row r="27" spans="1:25">
      <c r="A27" s="33" t="s">
        <v>78</v>
      </c>
      <c r="B27" s="33"/>
      <c r="C27" s="33"/>
      <c r="D27" s="33"/>
      <c r="E27" s="33"/>
      <c r="F27" s="33"/>
      <c r="G27" s="33"/>
      <c r="H27" s="33"/>
      <c r="I27" s="33"/>
      <c r="J27" s="33"/>
    </row>
    <row r="28" spans="1:25" ht="15" thickBot="1">
      <c r="A28" s="15" t="s">
        <v>79</v>
      </c>
      <c r="B28" s="15"/>
    </row>
    <row r="29" spans="1:25">
      <c r="A29" s="31" t="s">
        <v>80</v>
      </c>
      <c r="B29" s="19"/>
      <c r="C29" s="19"/>
      <c r="D29" s="19"/>
      <c r="E29" s="19"/>
      <c r="F29" s="19"/>
      <c r="G29" s="19"/>
      <c r="H29" s="19"/>
      <c r="I29" s="19"/>
      <c r="J29" s="19"/>
      <c r="K29" s="19"/>
      <c r="L29" s="19"/>
      <c r="M29" s="19"/>
      <c r="N29" s="19"/>
      <c r="O29" s="19"/>
      <c r="P29" s="19"/>
      <c r="Q29" s="19"/>
      <c r="R29" s="19"/>
      <c r="S29" s="19"/>
      <c r="T29" s="19"/>
      <c r="U29" s="19"/>
      <c r="V29" s="19"/>
      <c r="W29" s="19"/>
      <c r="X29" s="19"/>
      <c r="Y29" s="20"/>
    </row>
    <row r="30" spans="1:25">
      <c r="A30" s="35" t="s">
        <v>81</v>
      </c>
      <c r="Y30" s="22"/>
    </row>
    <row r="31" spans="1:25">
      <c r="A31" s="35" t="s">
        <v>82</v>
      </c>
      <c r="Y31" s="22"/>
    </row>
    <row r="32" spans="1:25" ht="15" thickBot="1">
      <c r="A32" s="23" t="s">
        <v>83</v>
      </c>
      <c r="B32" s="24"/>
      <c r="C32" s="24"/>
      <c r="D32" s="24"/>
      <c r="E32" s="24"/>
      <c r="F32" s="24"/>
      <c r="G32" s="24"/>
      <c r="H32" s="24"/>
      <c r="I32" s="24"/>
      <c r="J32" s="24"/>
      <c r="K32" s="24"/>
      <c r="L32" s="24"/>
      <c r="M32" s="24"/>
      <c r="N32" s="24"/>
      <c r="O32" s="24"/>
      <c r="P32" s="24"/>
      <c r="Q32" s="24"/>
      <c r="R32" s="24"/>
      <c r="S32" s="24"/>
      <c r="T32" s="24"/>
      <c r="U32" s="24"/>
      <c r="V32" s="24"/>
      <c r="W32" s="24"/>
      <c r="X32" s="24"/>
      <c r="Y32" s="25"/>
    </row>
    <row r="33" spans="1:9">
      <c r="A33" t="s">
        <v>63</v>
      </c>
    </row>
    <row r="34" spans="1:9">
      <c r="A34" s="33" t="s">
        <v>84</v>
      </c>
      <c r="B34" s="33"/>
      <c r="C34" s="33"/>
      <c r="D34" s="33"/>
      <c r="E34" s="33"/>
      <c r="F34" s="33"/>
      <c r="G34" s="33"/>
      <c r="H34" s="33"/>
    </row>
    <row r="35" spans="1:9">
      <c r="A35" s="15" t="s">
        <v>85</v>
      </c>
    </row>
    <row r="36" spans="1:9">
      <c r="A36" s="4" t="s">
        <v>86</v>
      </c>
    </row>
    <row r="37" spans="1:9">
      <c r="A37" s="34" t="s">
        <v>87</v>
      </c>
    </row>
    <row r="38" spans="1:9">
      <c r="A38" s="34" t="s">
        <v>88</v>
      </c>
    </row>
    <row r="39" spans="1:9">
      <c r="A39" s="16" t="s">
        <v>89</v>
      </c>
    </row>
    <row r="40" spans="1:9" ht="15" thickBot="1">
      <c r="A40" t="s">
        <v>63</v>
      </c>
    </row>
    <row r="41" spans="1:9" ht="15" thickBot="1">
      <c r="A41" s="36" t="s">
        <v>90</v>
      </c>
      <c r="B41" s="26"/>
      <c r="C41" s="26"/>
      <c r="D41" s="26"/>
      <c r="E41" s="26"/>
      <c r="F41" s="26"/>
      <c r="G41" s="26"/>
      <c r="H41" s="26"/>
      <c r="I41" s="27"/>
    </row>
    <row r="42" spans="1:9">
      <c r="A42" s="15" t="s">
        <v>91</v>
      </c>
    </row>
    <row r="43" spans="1:9">
      <c r="A43" s="4" t="s">
        <v>97</v>
      </c>
    </row>
    <row r="44" spans="1:9">
      <c r="A44" s="8" t="s">
        <v>98</v>
      </c>
    </row>
    <row r="45" spans="1:9">
      <c r="A45" s="37" t="s">
        <v>92</v>
      </c>
    </row>
    <row r="46" spans="1:9">
      <c r="A46" s="37" t="s">
        <v>93</v>
      </c>
      <c r="B46" s="37"/>
      <c r="C46" s="37"/>
      <c r="D46" s="37"/>
      <c r="E46" s="37"/>
      <c r="F46" s="37"/>
      <c r="G46" s="37"/>
    </row>
    <row r="47" spans="1:9">
      <c r="A47" s="37" t="s">
        <v>94</v>
      </c>
      <c r="B47" s="37"/>
      <c r="C47" s="37"/>
      <c r="D47" s="37"/>
      <c r="E47" s="37"/>
      <c r="F47" s="37"/>
      <c r="G47" s="37"/>
    </row>
    <row r="48" spans="1:9">
      <c r="A48" s="37" t="s">
        <v>95</v>
      </c>
    </row>
    <row r="49" spans="1:7">
      <c r="A49" s="37" t="s">
        <v>96</v>
      </c>
      <c r="B49" s="37"/>
      <c r="C49" s="37"/>
      <c r="D49" s="37"/>
      <c r="E49" s="37"/>
      <c r="F49" s="37"/>
      <c r="G49" s="37"/>
    </row>
    <row r="50" spans="1:7" ht="15" thickBot="1">
      <c r="A50" s="37" t="s">
        <v>63</v>
      </c>
    </row>
    <row r="51" spans="1:7">
      <c r="A51" s="38" t="s">
        <v>99</v>
      </c>
      <c r="B51" s="19"/>
      <c r="C51" s="19"/>
      <c r="D51" s="19"/>
      <c r="E51" s="19"/>
      <c r="F51" s="19"/>
      <c r="G51" s="20"/>
    </row>
    <row r="52" spans="1:7">
      <c r="A52" s="39" t="s">
        <v>100</v>
      </c>
      <c r="G52" s="22"/>
    </row>
    <row r="53" spans="1:7" ht="15" thickBot="1">
      <c r="A53" s="40" t="s">
        <v>101</v>
      </c>
      <c r="B53" s="24"/>
      <c r="C53" s="24"/>
      <c r="D53" s="24"/>
      <c r="E53" s="24"/>
      <c r="F53" s="24"/>
      <c r="G53"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8B39-8EAA-46C2-9F7F-FB478F6F53EF}">
  <dimension ref="A1:A60"/>
  <sheetViews>
    <sheetView topLeftCell="A22" workbookViewId="0">
      <selection activeCell="A3" sqref="A3"/>
    </sheetView>
  </sheetViews>
  <sheetFormatPr defaultColWidth="255.6640625" defaultRowHeight="14.4"/>
  <cols>
    <col min="1" max="1" width="255.77734375" bestFit="1" customWidth="1"/>
  </cols>
  <sheetData>
    <row r="1" spans="1:1">
      <c r="A1" s="12" t="s">
        <v>2</v>
      </c>
    </row>
    <row r="2" spans="1:1">
      <c r="A2" s="13" t="s">
        <v>3</v>
      </c>
    </row>
    <row r="3" spans="1:1">
      <c r="A3" s="13" t="s">
        <v>103</v>
      </c>
    </row>
    <row r="5" spans="1:1">
      <c r="A5" s="12" t="s">
        <v>4</v>
      </c>
    </row>
    <row r="6" spans="1:1">
      <c r="A6" s="13" t="s">
        <v>5</v>
      </c>
    </row>
    <row r="7" spans="1:1">
      <c r="A7" s="13" t="s">
        <v>8</v>
      </c>
    </row>
    <row r="8" spans="1:1">
      <c r="A8" s="12" t="s">
        <v>6</v>
      </c>
    </row>
    <row r="9" spans="1:1">
      <c r="A9" s="13" t="s">
        <v>7</v>
      </c>
    </row>
    <row r="10" spans="1:1">
      <c r="A10" s="13" t="s">
        <v>9</v>
      </c>
    </row>
    <row r="11" spans="1:1">
      <c r="A11" s="12" t="s">
        <v>10</v>
      </c>
    </row>
    <row r="12" spans="1:1">
      <c r="A12" s="13" t="s">
        <v>11</v>
      </c>
    </row>
    <row r="13" spans="1:1">
      <c r="A13" s="13" t="s">
        <v>12</v>
      </c>
    </row>
    <row r="14" spans="1:1">
      <c r="A14" s="12" t="s">
        <v>13</v>
      </c>
    </row>
    <row r="15" spans="1:1">
      <c r="A15" s="13" t="s">
        <v>14</v>
      </c>
    </row>
    <row r="16" spans="1:1">
      <c r="A16" s="13" t="s">
        <v>15</v>
      </c>
    </row>
    <row r="17" spans="1:1">
      <c r="A17" s="11" t="s">
        <v>16</v>
      </c>
    </row>
    <row r="18" spans="1:1">
      <c r="A18" s="13" t="s">
        <v>17</v>
      </c>
    </row>
    <row r="19" spans="1:1">
      <c r="A19" s="13" t="s">
        <v>18</v>
      </c>
    </row>
    <row r="20" spans="1:1">
      <c r="A20" s="12" t="s">
        <v>19</v>
      </c>
    </row>
    <row r="21" spans="1:1">
      <c r="A21" s="13" t="s">
        <v>20</v>
      </c>
    </row>
    <row r="22" spans="1:1">
      <c r="A22" s="13" t="s">
        <v>21</v>
      </c>
    </row>
    <row r="23" spans="1:1">
      <c r="A23" s="12" t="s">
        <v>22</v>
      </c>
    </row>
    <row r="24" spans="1:1">
      <c r="A24" s="13" t="s">
        <v>23</v>
      </c>
    </row>
    <row r="25" spans="1:1">
      <c r="A25" s="13" t="s">
        <v>24</v>
      </c>
    </row>
    <row r="26" spans="1:1">
      <c r="A26" s="12" t="s">
        <v>25</v>
      </c>
    </row>
    <row r="27" spans="1:1">
      <c r="A27" s="13" t="s">
        <v>26</v>
      </c>
    </row>
    <row r="28" spans="1:1">
      <c r="A28" s="13" t="s">
        <v>27</v>
      </c>
    </row>
    <row r="29" spans="1:1">
      <c r="A29" s="12" t="s">
        <v>28</v>
      </c>
    </row>
    <row r="30" spans="1:1">
      <c r="A30" s="13" t="s">
        <v>29</v>
      </c>
    </row>
    <row r="31" spans="1:1">
      <c r="A31" s="13" t="s">
        <v>30</v>
      </c>
    </row>
    <row r="33" spans="1:1">
      <c r="A33" s="5" t="s">
        <v>31</v>
      </c>
    </row>
    <row r="34" spans="1:1">
      <c r="A34" s="10" t="s">
        <v>32</v>
      </c>
    </row>
    <row r="35" spans="1:1">
      <c r="A35" s="10" t="s">
        <v>33</v>
      </c>
    </row>
    <row r="36" spans="1:1">
      <c r="A36" s="10" t="s">
        <v>34</v>
      </c>
    </row>
    <row r="37" spans="1:1">
      <c r="A37" s="10" t="s">
        <v>35</v>
      </c>
    </row>
    <row r="38" spans="1:1">
      <c r="A38" s="10" t="s">
        <v>36</v>
      </c>
    </row>
    <row r="39" spans="1:1">
      <c r="A39" s="10" t="s">
        <v>37</v>
      </c>
    </row>
    <row r="40" spans="1:1">
      <c r="A40" s="10" t="s">
        <v>38</v>
      </c>
    </row>
    <row r="41" spans="1:1">
      <c r="A41" s="10" t="s">
        <v>39</v>
      </c>
    </row>
    <row r="42" spans="1:1">
      <c r="A42" s="12" t="s">
        <v>40</v>
      </c>
    </row>
    <row r="43" spans="1:1">
      <c r="A43" s="7" t="s">
        <v>41</v>
      </c>
    </row>
    <row r="44" spans="1:1">
      <c r="A44" s="9" t="s">
        <v>42</v>
      </c>
    </row>
    <row r="45" spans="1:1">
      <c r="A45" s="9" t="s">
        <v>43</v>
      </c>
    </row>
    <row r="46" spans="1:1">
      <c r="A46" s="12" t="s">
        <v>44</v>
      </c>
    </row>
    <row r="47" spans="1:1">
      <c r="A47" s="7" t="s">
        <v>45</v>
      </c>
    </row>
    <row r="48" spans="1:1">
      <c r="A48" s="9" t="s">
        <v>46</v>
      </c>
    </row>
    <row r="49" spans="1:1">
      <c r="A49" s="9" t="s">
        <v>47</v>
      </c>
    </row>
    <row r="50" spans="1:1">
      <c r="A50" s="9" t="s">
        <v>48</v>
      </c>
    </row>
    <row r="51" spans="1:1">
      <c r="A51" s="12" t="s">
        <v>49</v>
      </c>
    </row>
    <row r="52" spans="1:1">
      <c r="A52" s="7" t="s">
        <v>50</v>
      </c>
    </row>
    <row r="53" spans="1:1">
      <c r="A53" s="9" t="s">
        <v>51</v>
      </c>
    </row>
    <row r="54" spans="1:1">
      <c r="A54" s="9" t="s">
        <v>52</v>
      </c>
    </row>
    <row r="56" spans="1:1">
      <c r="A56" s="12" t="s">
        <v>53</v>
      </c>
    </row>
    <row r="58" spans="1:1">
      <c r="A58" s="7" t="s">
        <v>54</v>
      </c>
    </row>
    <row r="59" spans="1:1">
      <c r="A59" s="8"/>
    </row>
    <row r="60" spans="1:1">
      <c r="A60" s="12" t="s">
        <v>55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Sayfa1</vt:lpstr>
      <vt:lpstr>son</vt:lpstr>
      <vt:lpstr>Sayfa2</vt:lpstr>
      <vt:lpstr>+1</vt:lpstr>
      <vt:lpstr>tüm çklş</vt:lpstr>
      <vt:lpstr>son çekiliş incelemesi</vt: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NNARSOFT04</dc:creator>
  <cp:lastModifiedBy>Selçuk Bülbül</cp:lastModifiedBy>
  <dcterms:created xsi:type="dcterms:W3CDTF">2015-06-05T18:19:34Z</dcterms:created>
  <dcterms:modified xsi:type="dcterms:W3CDTF">2026-07-22T17:51:05Z</dcterms:modified>
</cp:coreProperties>
</file>